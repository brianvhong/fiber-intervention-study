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jeawookang/Desktop/"/>
    </mc:Choice>
  </mc:AlternateContent>
  <xr:revisionPtr revIDLastSave="0" documentId="13_ncr:1_{1148D3D0-2F23-7949-8320-14BA7503BEA7}" xr6:coauthVersionLast="45" xr6:coauthVersionMax="45" xr10:uidLastSave="{00000000-0000-0000-0000-000000000000}"/>
  <bookViews>
    <workbookView xWindow="680" yWindow="920" windowWidth="29420" windowHeight="18900" xr2:uid="{CAD59928-4081-5542-95FB-3859992F721D}"/>
  </bookViews>
  <sheets>
    <sheet name="Meta Data" sheetId="13" r:id="rId1"/>
    <sheet name="Anthro AVG" sheetId="15" r:id="rId2"/>
    <sheet name="Glucose" sheetId="1" r:id="rId3"/>
    <sheet name="Insulin" sheetId="2" r:id="rId4"/>
    <sheet name="Cholesterol" sheetId="3" r:id="rId5"/>
    <sheet name="HDL" sheetId="4" r:id="rId6"/>
    <sheet name="LDL" sheetId="5" r:id="rId7"/>
    <sheet name="Chol-HDL ratio" sheetId="6" r:id="rId8"/>
    <sheet name="TG" sheetId="7" r:id="rId9"/>
    <sheet name="Non-HDL" sheetId="8" r:id="rId10"/>
    <sheet name="Lipid Panels A" sheetId="9" r:id="rId11"/>
    <sheet name="Lipid Panels B" sheetId="10" r:id="rId12"/>
    <sheet name="Lipid Panels C" sheetId="11" r:id="rId13"/>
    <sheet name="Lipid Panels D" sheetId="12" r:id="rId14"/>
    <sheet name="Anthro" sheetId="14" r:id="rId15"/>
  </sheets>
  <definedNames>
    <definedName name="_xlnm._FilterDatabase" localSheetId="14" hidden="1">Anthro!$A$1:$AJ$99</definedName>
    <definedName name="_xlnm._FilterDatabase" localSheetId="1" hidden="1">'Anthro AVG'!$K$2:$K$9</definedName>
    <definedName name="_xlnm._FilterDatabase" localSheetId="2" hidden="1">Glucose!$A$1:$R$21</definedName>
    <definedName name="_xlnm._FilterDatabase" localSheetId="0" hidden="1">'Meta Data'!$A$1:$U$81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AJ47" i="14" l="1"/>
  <c r="AJ49" i="14" s="1"/>
  <c r="AJ48" i="14"/>
  <c r="AJ50" i="14"/>
  <c r="AJ51" i="14"/>
  <c r="AJ52" i="14"/>
  <c r="AJ54" i="14" s="1"/>
  <c r="AJ53" i="14"/>
  <c r="AJ55" i="14"/>
  <c r="AJ56" i="14"/>
  <c r="AJ57" i="14"/>
  <c r="AJ58" i="14"/>
  <c r="AJ59" i="14"/>
  <c r="AJ60" i="14"/>
  <c r="AJ61" i="14"/>
  <c r="AJ62" i="14"/>
  <c r="AJ63" i="14"/>
  <c r="AJ65" i="14"/>
  <c r="AJ66" i="14"/>
  <c r="AJ67" i="14"/>
  <c r="AJ68" i="14"/>
  <c r="AJ69" i="14" s="1"/>
  <c r="AJ70" i="14"/>
  <c r="AJ71" i="14"/>
  <c r="AJ72" i="14"/>
  <c r="AJ74" i="14" s="1"/>
  <c r="AJ73" i="14"/>
  <c r="AJ75" i="14"/>
  <c r="AJ76" i="14"/>
  <c r="AJ77" i="14"/>
  <c r="AJ79" i="14" s="1"/>
  <c r="AJ78" i="14"/>
  <c r="AJ80" i="14"/>
  <c r="AJ81" i="14"/>
  <c r="AJ82" i="14"/>
  <c r="AJ84" i="14" s="1"/>
  <c r="AJ83" i="14"/>
  <c r="AJ85" i="14"/>
  <c r="AJ86" i="14"/>
  <c r="AJ87" i="14"/>
  <c r="AJ88" i="14"/>
  <c r="AJ89" i="14"/>
  <c r="AJ90" i="14"/>
  <c r="AJ91" i="14"/>
  <c r="AJ92" i="14"/>
  <c r="AJ93" i="14"/>
  <c r="AJ94" i="14"/>
  <c r="AJ95" i="14"/>
  <c r="AJ96" i="14"/>
  <c r="AJ97" i="14"/>
  <c r="AJ99" i="14" s="1"/>
  <c r="AJ98" i="14"/>
  <c r="AJ100" i="14"/>
  <c r="AJ101" i="14"/>
  <c r="AE47" i="14"/>
  <c r="AE49" i="14" s="1"/>
  <c r="AE48" i="14"/>
  <c r="AE50" i="14"/>
  <c r="AE51" i="14"/>
  <c r="AE52" i="14"/>
  <c r="AE54" i="14" s="1"/>
  <c r="AE53" i="14"/>
  <c r="AE55" i="14"/>
  <c r="AE56" i="14"/>
  <c r="AE57" i="14"/>
  <c r="AE58" i="14"/>
  <c r="AE59" i="14"/>
  <c r="AE60" i="14"/>
  <c r="AE61" i="14"/>
  <c r="AE62" i="14"/>
  <c r="AE63" i="14"/>
  <c r="AE65" i="14"/>
  <c r="AE66" i="14"/>
  <c r="AE67" i="14"/>
  <c r="AE68" i="14"/>
  <c r="AE69" i="14" s="1"/>
  <c r="AE70" i="14"/>
  <c r="AE71" i="14"/>
  <c r="AE72" i="14"/>
  <c r="AE74" i="14" s="1"/>
  <c r="AE73" i="14"/>
  <c r="AE75" i="14"/>
  <c r="AE76" i="14"/>
  <c r="AE77" i="14"/>
  <c r="AE79" i="14" s="1"/>
  <c r="AE78" i="14"/>
  <c r="AE80" i="14"/>
  <c r="AE81" i="14"/>
  <c r="AE82" i="14"/>
  <c r="AE84" i="14" s="1"/>
  <c r="AE83" i="14"/>
  <c r="AE85" i="14"/>
  <c r="AE86" i="14"/>
  <c r="AE87" i="14"/>
  <c r="AE88" i="14"/>
  <c r="AE90" i="14"/>
  <c r="AE91" i="14"/>
  <c r="AE92" i="14"/>
  <c r="AE93" i="14"/>
  <c r="AE94" i="14"/>
  <c r="AE95" i="14"/>
  <c r="AE96" i="14"/>
  <c r="AE97" i="14"/>
  <c r="AE98" i="14"/>
  <c r="AE99" i="14"/>
  <c r="AE100" i="14"/>
  <c r="AE101" i="14"/>
  <c r="Z47" i="14"/>
  <c r="Z49" i="14" s="1"/>
  <c r="Z48" i="14"/>
  <c r="Z50" i="14"/>
  <c r="Z51" i="14"/>
  <c r="Z52" i="14"/>
  <c r="Z54" i="14" s="1"/>
  <c r="Z53" i="14"/>
  <c r="Z55" i="14"/>
  <c r="Z56" i="14"/>
  <c r="Z57" i="14"/>
  <c r="Z59" i="14" s="1"/>
  <c r="Z58" i="14"/>
  <c r="Z60" i="14"/>
  <c r="Z61" i="14"/>
  <c r="Z62" i="14"/>
  <c r="Z64" i="14" s="1"/>
  <c r="Z63" i="14"/>
  <c r="Z65" i="14"/>
  <c r="Z66" i="14"/>
  <c r="Z67" i="14"/>
  <c r="Z68" i="14"/>
  <c r="Z69" i="14"/>
  <c r="Z70" i="14"/>
  <c r="Z71" i="14"/>
  <c r="Z72" i="14"/>
  <c r="Z73" i="14"/>
  <c r="Z74" i="14" s="1"/>
  <c r="Z75" i="14"/>
  <c r="Z76" i="14"/>
  <c r="Z77" i="14"/>
  <c r="Z78" i="14"/>
  <c r="Z80" i="14"/>
  <c r="Z81" i="14"/>
  <c r="Z82" i="14"/>
  <c r="Z84" i="14" s="1"/>
  <c r="Z83" i="14"/>
  <c r="Z85" i="14"/>
  <c r="Z86" i="14"/>
  <c r="Z87" i="14"/>
  <c r="Z89" i="14" s="1"/>
  <c r="Z88" i="14"/>
  <c r="Z90" i="14"/>
  <c r="Z91" i="14"/>
  <c r="Z92" i="14"/>
  <c r="Z94" i="14" s="1"/>
  <c r="Z93" i="14"/>
  <c r="Z95" i="14"/>
  <c r="Z96" i="14"/>
  <c r="Z97" i="14"/>
  <c r="Z98" i="14"/>
  <c r="Z99" i="14"/>
  <c r="Z100" i="14"/>
  <c r="Z101" i="14"/>
  <c r="U47" i="14"/>
  <c r="U48" i="14"/>
  <c r="U50" i="14"/>
  <c r="U51" i="14"/>
  <c r="U52" i="14"/>
  <c r="U53" i="14"/>
  <c r="U54" i="14" s="1"/>
  <c r="U55" i="14"/>
  <c r="U56" i="14"/>
  <c r="U57" i="14"/>
  <c r="U59" i="14" s="1"/>
  <c r="U58" i="14"/>
  <c r="U60" i="14"/>
  <c r="U61" i="14"/>
  <c r="U62" i="14"/>
  <c r="U64" i="14" s="1"/>
  <c r="U63" i="14"/>
  <c r="U65" i="14"/>
  <c r="U66" i="14"/>
  <c r="U67" i="14"/>
  <c r="U69" i="14" s="1"/>
  <c r="U68" i="14"/>
  <c r="U70" i="14"/>
  <c r="U71" i="14"/>
  <c r="U72" i="14"/>
  <c r="U73" i="14"/>
  <c r="U74" i="14"/>
  <c r="U75" i="14"/>
  <c r="U76" i="14"/>
  <c r="U77" i="14"/>
  <c r="U78" i="14"/>
  <c r="U80" i="14"/>
  <c r="U81" i="14"/>
  <c r="U82" i="14"/>
  <c r="U83" i="14"/>
  <c r="U84" i="14"/>
  <c r="U85" i="14"/>
  <c r="U86" i="14"/>
  <c r="U87" i="14"/>
  <c r="U88" i="14"/>
  <c r="U90" i="14"/>
  <c r="U91" i="14"/>
  <c r="U92" i="14"/>
  <c r="U93" i="14"/>
  <c r="U94" i="14" s="1"/>
  <c r="U95" i="14"/>
  <c r="U96" i="14"/>
  <c r="U97" i="14"/>
  <c r="U99" i="14" s="1"/>
  <c r="U98" i="14"/>
  <c r="U100" i="14"/>
  <c r="U101" i="14"/>
  <c r="P47" i="14"/>
  <c r="P49" i="14" s="1"/>
  <c r="P48" i="14"/>
  <c r="P50" i="14"/>
  <c r="P51" i="14"/>
  <c r="P52" i="14"/>
  <c r="P53" i="14"/>
  <c r="P54" i="14"/>
  <c r="P55" i="14"/>
  <c r="P56" i="14"/>
  <c r="P57" i="14"/>
  <c r="P58" i="14"/>
  <c r="P59" i="14" s="1"/>
  <c r="P60" i="14"/>
  <c r="P61" i="14"/>
  <c r="P62" i="14"/>
  <c r="P63" i="14"/>
  <c r="P65" i="14"/>
  <c r="P66" i="14"/>
  <c r="P67" i="14"/>
  <c r="P69" i="14" s="1"/>
  <c r="P68" i="14"/>
  <c r="P70" i="14"/>
  <c r="P71" i="14"/>
  <c r="P72" i="14"/>
  <c r="P74" i="14" s="1"/>
  <c r="P73" i="14"/>
  <c r="P75" i="14"/>
  <c r="P76" i="14"/>
  <c r="P77" i="14"/>
  <c r="P78" i="14"/>
  <c r="P80" i="14"/>
  <c r="P81" i="14"/>
  <c r="P82" i="14"/>
  <c r="P83" i="14"/>
  <c r="P84" i="14"/>
  <c r="P85" i="14"/>
  <c r="P86" i="14"/>
  <c r="P87" i="14"/>
  <c r="P88" i="14"/>
  <c r="P90" i="14"/>
  <c r="P91" i="14"/>
  <c r="P92" i="14"/>
  <c r="P93" i="14"/>
  <c r="P94" i="14" s="1"/>
  <c r="P95" i="14"/>
  <c r="P96" i="14"/>
  <c r="P97" i="14"/>
  <c r="P98" i="14"/>
  <c r="P99" i="14" s="1"/>
  <c r="P100" i="14"/>
  <c r="P101" i="14"/>
  <c r="K47" i="14"/>
  <c r="K49" i="14" s="1"/>
  <c r="K48" i="14"/>
  <c r="K50" i="14"/>
  <c r="K51" i="14"/>
  <c r="K52" i="14"/>
  <c r="K53" i="14"/>
  <c r="K54" i="14"/>
  <c r="K55" i="14"/>
  <c r="K56" i="14"/>
  <c r="K57" i="14"/>
  <c r="K58" i="14"/>
  <c r="K59" i="14" s="1"/>
  <c r="K60" i="14"/>
  <c r="K61" i="14"/>
  <c r="K62" i="14"/>
  <c r="K63" i="14"/>
  <c r="K65" i="14"/>
  <c r="K66" i="14"/>
  <c r="K67" i="14"/>
  <c r="K68" i="14"/>
  <c r="K69" i="14"/>
  <c r="K70" i="14"/>
  <c r="K71" i="14"/>
  <c r="K72" i="14"/>
  <c r="K74" i="14" s="1"/>
  <c r="K73" i="14"/>
  <c r="K75" i="14"/>
  <c r="K76" i="14"/>
  <c r="K77" i="14"/>
  <c r="K79" i="14" s="1"/>
  <c r="K78" i="14"/>
  <c r="K80" i="14"/>
  <c r="K81" i="14"/>
  <c r="K82" i="14"/>
  <c r="K84" i="14" s="1"/>
  <c r="K83" i="14"/>
  <c r="K85" i="14"/>
  <c r="K86" i="14"/>
  <c r="K87" i="14"/>
  <c r="K88" i="14"/>
  <c r="K89" i="14"/>
  <c r="K90" i="14"/>
  <c r="K91" i="14"/>
  <c r="K92" i="14"/>
  <c r="K93" i="14"/>
  <c r="K94" i="14"/>
  <c r="K95" i="14"/>
  <c r="K96" i="14"/>
  <c r="K97" i="14"/>
  <c r="K99" i="14" s="1"/>
  <c r="K98" i="14"/>
  <c r="K100" i="14"/>
  <c r="K101" i="14"/>
  <c r="F47" i="14"/>
  <c r="F49" i="14" s="1"/>
  <c r="F48" i="14"/>
  <c r="F50" i="14"/>
  <c r="F51" i="14"/>
  <c r="F52" i="14"/>
  <c r="F53" i="14"/>
  <c r="F54" i="14"/>
  <c r="F55" i="14"/>
  <c r="F56" i="14"/>
  <c r="F57" i="14"/>
  <c r="F58" i="14"/>
  <c r="F59" i="14"/>
  <c r="F60" i="14"/>
  <c r="F61" i="14"/>
  <c r="F62" i="14"/>
  <c r="F63" i="14"/>
  <c r="F65" i="14"/>
  <c r="F66" i="14"/>
  <c r="F67" i="14"/>
  <c r="F69" i="14" s="1"/>
  <c r="F68" i="14"/>
  <c r="F70" i="14"/>
  <c r="F71" i="14"/>
  <c r="F72" i="14"/>
  <c r="F73" i="14"/>
  <c r="F75" i="14"/>
  <c r="F76" i="14"/>
  <c r="F77" i="14"/>
  <c r="F79" i="14" s="1"/>
  <c r="F78" i="14"/>
  <c r="F80" i="14"/>
  <c r="F81" i="14"/>
  <c r="F82" i="14"/>
  <c r="F84" i="14" s="1"/>
  <c r="F83" i="14"/>
  <c r="F85" i="14"/>
  <c r="F86" i="14"/>
  <c r="F87" i="14"/>
  <c r="F88" i="14"/>
  <c r="F89" i="14"/>
  <c r="F90" i="14"/>
  <c r="F91" i="14"/>
  <c r="F92" i="14"/>
  <c r="F93" i="14"/>
  <c r="F94" i="14"/>
  <c r="F95" i="14"/>
  <c r="F96" i="14"/>
  <c r="F97" i="14"/>
  <c r="F98" i="14"/>
  <c r="F99" i="14" s="1"/>
  <c r="F100" i="14"/>
  <c r="F101" i="14"/>
  <c r="K64" i="14" l="1"/>
  <c r="U79" i="14"/>
  <c r="AJ64" i="14"/>
  <c r="F74" i="14"/>
  <c r="F64" i="14"/>
  <c r="Z79" i="14"/>
  <c r="P89" i="14"/>
  <c r="U49" i="14"/>
  <c r="AE64" i="14"/>
  <c r="P64" i="14"/>
  <c r="P79" i="14"/>
  <c r="AE89" i="14"/>
  <c r="U89" i="14"/>
  <c r="AJ27" i="14"/>
  <c r="AJ28" i="14"/>
  <c r="AJ30" i="14"/>
  <c r="AJ31" i="14"/>
  <c r="AJ32" i="14"/>
  <c r="AJ33" i="14"/>
  <c r="AJ34" i="14"/>
  <c r="AJ35" i="14"/>
  <c r="AJ36" i="14"/>
  <c r="AJ37" i="14"/>
  <c r="AJ39" i="14" s="1"/>
  <c r="AJ38" i="14"/>
  <c r="AJ40" i="14"/>
  <c r="AJ41" i="14"/>
  <c r="AJ42" i="14"/>
  <c r="AJ43" i="14"/>
  <c r="AJ45" i="14"/>
  <c r="AJ46" i="14"/>
  <c r="AE27" i="14"/>
  <c r="AE29" i="14" s="1"/>
  <c r="AE28" i="14"/>
  <c r="AE30" i="14"/>
  <c r="AE31" i="14"/>
  <c r="AE32" i="14"/>
  <c r="AE33" i="14"/>
  <c r="AE34" i="14" s="1"/>
  <c r="AE35" i="14"/>
  <c r="AE36" i="14"/>
  <c r="AE37" i="14"/>
  <c r="AE39" i="14" s="1"/>
  <c r="AE38" i="14"/>
  <c r="AE40" i="14"/>
  <c r="AE41" i="14"/>
  <c r="AE42" i="14"/>
  <c r="AE44" i="14" s="1"/>
  <c r="AE43" i="14"/>
  <c r="AE45" i="14"/>
  <c r="AE46" i="14"/>
  <c r="Z27" i="14"/>
  <c r="Z29" i="14" s="1"/>
  <c r="Z28" i="14"/>
  <c r="Z30" i="14"/>
  <c r="Z31" i="14"/>
  <c r="Z32" i="14"/>
  <c r="Z33" i="14"/>
  <c r="Z35" i="14"/>
  <c r="Z36" i="14"/>
  <c r="Z37" i="14"/>
  <c r="Z38" i="14"/>
  <c r="Z39" i="14" s="1"/>
  <c r="Z40" i="14"/>
  <c r="Z41" i="14"/>
  <c r="Z42" i="14"/>
  <c r="Z43" i="14"/>
  <c r="Z45" i="14"/>
  <c r="Z46" i="14"/>
  <c r="U27" i="14"/>
  <c r="U29" i="14" s="1"/>
  <c r="U28" i="14"/>
  <c r="U30" i="14"/>
  <c r="U31" i="14"/>
  <c r="U32" i="14"/>
  <c r="U34" i="14" s="1"/>
  <c r="U33" i="14"/>
  <c r="U35" i="14"/>
  <c r="U36" i="14"/>
  <c r="U37" i="14"/>
  <c r="U38" i="14"/>
  <c r="U39" i="14"/>
  <c r="U40" i="14"/>
  <c r="U41" i="14"/>
  <c r="U42" i="14"/>
  <c r="U44" i="14" s="1"/>
  <c r="U43" i="14"/>
  <c r="U45" i="14"/>
  <c r="U46" i="14"/>
  <c r="P27" i="14"/>
  <c r="P28" i="14"/>
  <c r="P30" i="14"/>
  <c r="P31" i="14"/>
  <c r="P32" i="14"/>
  <c r="P34" i="14" s="1"/>
  <c r="P33" i="14"/>
  <c r="P35" i="14"/>
  <c r="P36" i="14"/>
  <c r="P37" i="14"/>
  <c r="P39" i="14" s="1"/>
  <c r="P38" i="14"/>
  <c r="P40" i="14"/>
  <c r="P41" i="14"/>
  <c r="P42" i="14"/>
  <c r="P44" i="14" s="1"/>
  <c r="P43" i="14"/>
  <c r="P45" i="14"/>
  <c r="P46" i="14"/>
  <c r="K27" i="14"/>
  <c r="K28" i="14"/>
  <c r="K30" i="14"/>
  <c r="K31" i="14"/>
  <c r="K32" i="14"/>
  <c r="K34" i="14" s="1"/>
  <c r="K33" i="14"/>
  <c r="K35" i="14"/>
  <c r="K36" i="14"/>
  <c r="K37" i="14"/>
  <c r="K39" i="14" s="1"/>
  <c r="K38" i="14"/>
  <c r="K40" i="14"/>
  <c r="K41" i="14"/>
  <c r="K42" i="14"/>
  <c r="K43" i="14"/>
  <c r="K45" i="14"/>
  <c r="K46" i="14"/>
  <c r="F27" i="14"/>
  <c r="F29" i="14" s="1"/>
  <c r="F28" i="14"/>
  <c r="F30" i="14"/>
  <c r="F31" i="14"/>
  <c r="F32" i="14"/>
  <c r="F33" i="14"/>
  <c r="F34" i="14" s="1"/>
  <c r="F35" i="14"/>
  <c r="F36" i="14"/>
  <c r="F37" i="14"/>
  <c r="F38" i="14"/>
  <c r="F39" i="14" s="1"/>
  <c r="F40" i="14"/>
  <c r="F41" i="14"/>
  <c r="F42" i="14"/>
  <c r="F43" i="14"/>
  <c r="F45" i="14"/>
  <c r="F46" i="14"/>
  <c r="AJ22" i="14"/>
  <c r="AJ24" i="14" s="1"/>
  <c r="AJ23" i="14"/>
  <c r="AJ25" i="14"/>
  <c r="AJ26" i="14"/>
  <c r="AE22" i="14"/>
  <c r="AE23" i="14"/>
  <c r="AE25" i="14"/>
  <c r="AE26" i="14"/>
  <c r="Z24" i="14"/>
  <c r="Z22" i="14"/>
  <c r="Z23" i="14"/>
  <c r="Z25" i="14"/>
  <c r="Z26" i="14"/>
  <c r="U22" i="14"/>
  <c r="U24" i="14" s="1"/>
  <c r="U23" i="14"/>
  <c r="U25" i="14"/>
  <c r="U26" i="14"/>
  <c r="P22" i="14"/>
  <c r="P23" i="14"/>
  <c r="P25" i="14"/>
  <c r="P26" i="14"/>
  <c r="K22" i="14"/>
  <c r="K24" i="14" s="1"/>
  <c r="K23" i="14"/>
  <c r="K25" i="14"/>
  <c r="K26" i="14"/>
  <c r="F22" i="14"/>
  <c r="F23" i="14"/>
  <c r="F25" i="14"/>
  <c r="F26" i="14"/>
  <c r="F7" i="14"/>
  <c r="F8" i="14"/>
  <c r="F10" i="14"/>
  <c r="F11" i="14"/>
  <c r="F12" i="14"/>
  <c r="F13" i="14"/>
  <c r="F14" i="14" s="1"/>
  <c r="F15" i="14"/>
  <c r="F16" i="14"/>
  <c r="F17" i="14"/>
  <c r="F19" i="14" s="1"/>
  <c r="F18" i="14"/>
  <c r="F20" i="14"/>
  <c r="F21" i="14"/>
  <c r="AJ17" i="14"/>
  <c r="AJ18" i="14"/>
  <c r="AJ20" i="14"/>
  <c r="AJ21" i="14"/>
  <c r="AE17" i="14"/>
  <c r="AE18" i="14"/>
  <c r="AE20" i="14"/>
  <c r="AE21" i="14"/>
  <c r="Z17" i="14"/>
  <c r="Z18" i="14"/>
  <c r="Z20" i="14"/>
  <c r="Z21" i="14"/>
  <c r="U17" i="14"/>
  <c r="U18" i="14"/>
  <c r="U20" i="14"/>
  <c r="U21" i="14"/>
  <c r="P17" i="14"/>
  <c r="P18" i="14"/>
  <c r="P20" i="14"/>
  <c r="P21" i="14"/>
  <c r="K17" i="14"/>
  <c r="K18" i="14"/>
  <c r="K20" i="14"/>
  <c r="K21" i="14"/>
  <c r="AJ12" i="14"/>
  <c r="AJ13" i="14"/>
  <c r="AJ15" i="14"/>
  <c r="AJ16" i="14"/>
  <c r="AE13" i="14"/>
  <c r="AE15" i="14"/>
  <c r="AE16" i="14"/>
  <c r="AE12" i="14"/>
  <c r="Z12" i="14"/>
  <c r="Z13" i="14"/>
  <c r="Z15" i="14"/>
  <c r="Z16" i="14"/>
  <c r="U12" i="14"/>
  <c r="U13" i="14"/>
  <c r="U15" i="14"/>
  <c r="U16" i="14"/>
  <c r="P12" i="14"/>
  <c r="P13" i="14"/>
  <c r="P15" i="14"/>
  <c r="P16" i="14"/>
  <c r="K12" i="14"/>
  <c r="K13" i="14"/>
  <c r="K15" i="14"/>
  <c r="K16" i="14"/>
  <c r="AJ7" i="14"/>
  <c r="AJ8" i="14"/>
  <c r="AJ10" i="14"/>
  <c r="AJ11" i="14"/>
  <c r="AE7" i="14"/>
  <c r="AE8" i="14"/>
  <c r="AE10" i="14"/>
  <c r="AE11" i="14"/>
  <c r="Z7" i="14"/>
  <c r="Z8" i="14"/>
  <c r="Z10" i="14"/>
  <c r="Z11" i="14"/>
  <c r="U7" i="14"/>
  <c r="U8" i="14"/>
  <c r="U10" i="14"/>
  <c r="U11" i="14"/>
  <c r="P7" i="14"/>
  <c r="P8" i="14"/>
  <c r="P10" i="14"/>
  <c r="P11" i="14"/>
  <c r="K7" i="14"/>
  <c r="K8" i="14"/>
  <c r="K10" i="14"/>
  <c r="K11" i="14"/>
  <c r="AJ6" i="14"/>
  <c r="AE6" i="14"/>
  <c r="Z6" i="14"/>
  <c r="U6" i="14"/>
  <c r="P6" i="14"/>
  <c r="K6" i="14"/>
  <c r="F6" i="14"/>
  <c r="AJ5" i="14"/>
  <c r="AE5" i="14"/>
  <c r="Z5" i="14"/>
  <c r="U5" i="14"/>
  <c r="P5" i="14"/>
  <c r="K5" i="14"/>
  <c r="F5" i="14"/>
  <c r="AJ3" i="14"/>
  <c r="AJ2" i="14"/>
  <c r="AE3" i="14"/>
  <c r="AE2" i="14"/>
  <c r="Z3" i="14"/>
  <c r="Z2" i="14"/>
  <c r="U3" i="14"/>
  <c r="U2" i="14"/>
  <c r="P3" i="14"/>
  <c r="P2" i="14"/>
  <c r="K3" i="14"/>
  <c r="K2" i="14"/>
  <c r="F3" i="14"/>
  <c r="F2" i="14"/>
  <c r="K9" i="14" l="1"/>
  <c r="AE24" i="14"/>
  <c r="F44" i="14"/>
  <c r="K29" i="14"/>
  <c r="Z44" i="14"/>
  <c r="Z34" i="14"/>
  <c r="AJ29" i="14"/>
  <c r="K44" i="14"/>
  <c r="P29" i="14"/>
  <c r="AJ44" i="14"/>
  <c r="F24" i="14"/>
  <c r="P24" i="14"/>
  <c r="Z14" i="14"/>
  <c r="P14" i="14"/>
  <c r="P19" i="14"/>
  <c r="P9" i="14"/>
  <c r="AJ9" i="14"/>
  <c r="AJ14" i="14"/>
  <c r="F4" i="14"/>
  <c r="Z9" i="14"/>
  <c r="Z19" i="14"/>
  <c r="U14" i="14"/>
  <c r="K14" i="14"/>
  <c r="AE19" i="14"/>
  <c r="AE9" i="14"/>
  <c r="K19" i="14"/>
  <c r="K4" i="14"/>
  <c r="F9" i="14"/>
  <c r="U9" i="14"/>
  <c r="AE14" i="14"/>
  <c r="U19" i="14"/>
  <c r="AJ19" i="14"/>
  <c r="AJ4" i="14"/>
  <c r="AE4" i="14"/>
  <c r="Z4" i="14"/>
  <c r="U4" i="14"/>
  <c r="P4" i="14"/>
  <c r="D21" i="12" l="1"/>
  <c r="E21" i="12"/>
  <c r="G21" i="12"/>
  <c r="D20" i="12"/>
  <c r="E20" i="12"/>
  <c r="G20" i="12"/>
  <c r="D19" i="12"/>
  <c r="E19" i="12"/>
  <c r="G19" i="12"/>
  <c r="D18" i="12"/>
  <c r="E18" i="12"/>
  <c r="G18" i="12"/>
  <c r="D17" i="12"/>
  <c r="E17" i="12"/>
  <c r="G17" i="12"/>
  <c r="D16" i="12"/>
  <c r="E16" i="12"/>
  <c r="G16" i="12"/>
  <c r="D15" i="12"/>
  <c r="E15" i="12"/>
  <c r="G15" i="12"/>
  <c r="D14" i="12"/>
  <c r="E14" i="12"/>
  <c r="G14" i="12"/>
  <c r="D13" i="12"/>
  <c r="E13" i="12"/>
  <c r="G13" i="12"/>
  <c r="D12" i="12"/>
  <c r="E12" i="12"/>
  <c r="G12" i="12"/>
  <c r="D11" i="12"/>
  <c r="E11" i="12"/>
  <c r="G11" i="12"/>
  <c r="G21" i="11"/>
  <c r="G20" i="11"/>
  <c r="G19" i="11"/>
  <c r="G18" i="11"/>
  <c r="G17" i="11"/>
  <c r="G16" i="11"/>
  <c r="G15" i="11"/>
  <c r="G14" i="11"/>
  <c r="A26" i="13"/>
  <c r="A27" i="13"/>
  <c r="A28" i="13"/>
  <c r="A29" i="13"/>
  <c r="A30" i="13"/>
  <c r="A31" i="13"/>
  <c r="A32" i="13"/>
  <c r="A33" i="13"/>
  <c r="A34" i="13"/>
  <c r="A35" i="13"/>
  <c r="A36" i="13"/>
  <c r="A37" i="13"/>
  <c r="A38" i="13"/>
  <c r="A39" i="13"/>
  <c r="A40" i="13"/>
  <c r="A41" i="13"/>
  <c r="A42" i="13"/>
  <c r="A43" i="13"/>
  <c r="A44" i="13"/>
  <c r="A45" i="13"/>
  <c r="A46" i="13"/>
  <c r="A47" i="13"/>
  <c r="A48" i="13"/>
  <c r="A49" i="13"/>
  <c r="A50" i="13"/>
  <c r="A51" i="13"/>
  <c r="A52" i="13"/>
  <c r="A53" i="13"/>
  <c r="A54" i="13"/>
  <c r="A55" i="13"/>
  <c r="A56" i="13"/>
  <c r="A57" i="13"/>
  <c r="A58" i="13"/>
  <c r="A59" i="13"/>
  <c r="A60" i="13"/>
  <c r="A61" i="13"/>
  <c r="A62" i="13"/>
  <c r="A63" i="13"/>
  <c r="A64" i="13"/>
  <c r="A65" i="13"/>
  <c r="A66" i="13"/>
  <c r="A67" i="13"/>
  <c r="A68" i="13"/>
  <c r="A69" i="13"/>
  <c r="A70" i="13"/>
  <c r="A71" i="13"/>
  <c r="A72" i="13"/>
  <c r="A73" i="13"/>
  <c r="A74" i="13"/>
  <c r="A75" i="13"/>
  <c r="A76" i="13"/>
  <c r="A77" i="13"/>
  <c r="A78" i="13"/>
  <c r="A79" i="13"/>
  <c r="A80" i="13"/>
  <c r="A81" i="13"/>
  <c r="A14" i="13"/>
  <c r="A15" i="13"/>
  <c r="A16" i="13"/>
  <c r="A17" i="13"/>
  <c r="A18" i="13"/>
  <c r="A19" i="13"/>
  <c r="A20" i="13"/>
  <c r="A21" i="13"/>
  <c r="A22" i="13"/>
  <c r="A23" i="13"/>
  <c r="A24" i="13"/>
  <c r="A25" i="13"/>
  <c r="A10" i="13"/>
  <c r="A11" i="13"/>
  <c r="A12" i="13"/>
  <c r="A13" i="13"/>
  <c r="A2" i="13" l="1"/>
  <c r="A3" i="13"/>
  <c r="A4" i="13"/>
  <c r="A5" i="13"/>
  <c r="A6" i="13"/>
  <c r="A7" i="13"/>
  <c r="A8" i="13"/>
  <c r="A9" i="13"/>
  <c r="E13" i="11"/>
  <c r="E14" i="11"/>
  <c r="E15" i="11"/>
  <c r="E16" i="11"/>
  <c r="E17" i="11"/>
  <c r="E18" i="11"/>
  <c r="E19" i="11"/>
  <c r="E20" i="11"/>
  <c r="E21" i="11"/>
  <c r="D13" i="11"/>
  <c r="D14" i="11"/>
  <c r="D15" i="11"/>
  <c r="D16" i="11"/>
  <c r="D17" i="11"/>
  <c r="D18" i="11"/>
  <c r="D19" i="11"/>
  <c r="D20" i="11"/>
  <c r="D21" i="11"/>
  <c r="G13" i="11"/>
  <c r="G3" i="12"/>
  <c r="G4" i="12"/>
  <c r="G5" i="12"/>
  <c r="G6" i="12"/>
  <c r="G7" i="12"/>
  <c r="G8" i="12"/>
  <c r="G9" i="12"/>
  <c r="G10" i="12"/>
  <c r="G2" i="12"/>
  <c r="E3" i="12"/>
  <c r="E4" i="12"/>
  <c r="E5" i="12"/>
  <c r="E6" i="12"/>
  <c r="E7" i="12"/>
  <c r="E8" i="12"/>
  <c r="E9" i="12"/>
  <c r="E10" i="12"/>
  <c r="E2" i="12"/>
  <c r="D3" i="12"/>
  <c r="D4" i="12"/>
  <c r="D5" i="12"/>
  <c r="D6" i="12"/>
  <c r="D7" i="12"/>
  <c r="D8" i="12"/>
  <c r="D9" i="12"/>
  <c r="D10" i="12"/>
  <c r="D2" i="12"/>
  <c r="D2" i="11"/>
  <c r="G3" i="11"/>
  <c r="G4" i="11"/>
  <c r="G5" i="11"/>
  <c r="G6" i="11"/>
  <c r="G7" i="11"/>
  <c r="G8" i="11"/>
  <c r="G9" i="11"/>
  <c r="G10" i="11"/>
  <c r="G11" i="11"/>
  <c r="G12" i="11"/>
  <c r="E3" i="11"/>
  <c r="E4" i="11"/>
  <c r="E5" i="11"/>
  <c r="E6" i="11"/>
  <c r="E7" i="11"/>
  <c r="E8" i="11"/>
  <c r="E9" i="11"/>
  <c r="E10" i="11"/>
  <c r="E11" i="11"/>
  <c r="E12" i="11"/>
  <c r="D3" i="11"/>
  <c r="D4" i="11"/>
  <c r="D5" i="11"/>
  <c r="D6" i="11"/>
  <c r="D7" i="11"/>
  <c r="D8" i="11"/>
  <c r="D9" i="11"/>
  <c r="D10" i="11"/>
  <c r="D11" i="11"/>
  <c r="D12" i="11"/>
  <c r="G2" i="11"/>
  <c r="E2" i="11"/>
  <c r="D2" i="10"/>
  <c r="G21" i="10"/>
  <c r="G20" i="10"/>
  <c r="G19" i="10"/>
  <c r="G18" i="10"/>
  <c r="E17" i="10"/>
  <c r="E18" i="10"/>
  <c r="E19" i="10"/>
  <c r="E20" i="10"/>
  <c r="E21" i="10"/>
  <c r="D17" i="10"/>
  <c r="D18" i="10"/>
  <c r="D19" i="10"/>
  <c r="D20" i="10"/>
  <c r="D21" i="10"/>
  <c r="G17" i="10"/>
  <c r="G3" i="10"/>
  <c r="G4" i="10"/>
  <c r="G5" i="10"/>
  <c r="G6" i="10"/>
  <c r="G7" i="10"/>
  <c r="G8" i="10"/>
  <c r="G9" i="10"/>
  <c r="G10" i="10"/>
  <c r="G11" i="10"/>
  <c r="G12" i="10"/>
  <c r="G13" i="10"/>
  <c r="G14" i="10"/>
  <c r="G15" i="10"/>
  <c r="G16" i="10"/>
  <c r="G2" i="10"/>
  <c r="E3" i="10"/>
  <c r="E4" i="10"/>
  <c r="E5" i="10"/>
  <c r="E6" i="10"/>
  <c r="E7" i="10"/>
  <c r="E8" i="10"/>
  <c r="E9" i="10"/>
  <c r="E10" i="10"/>
  <c r="E11" i="10"/>
  <c r="E12" i="10"/>
  <c r="E13" i="10"/>
  <c r="E14" i="10"/>
  <c r="E15" i="10"/>
  <c r="E16" i="10"/>
  <c r="E2" i="10"/>
  <c r="D3" i="10"/>
  <c r="D4" i="10"/>
  <c r="D5" i="10"/>
  <c r="D6" i="10"/>
  <c r="D7" i="10"/>
  <c r="D8" i="10"/>
  <c r="D9" i="10"/>
  <c r="D10" i="10"/>
  <c r="D11" i="10"/>
  <c r="D12" i="10"/>
  <c r="D13" i="10"/>
  <c r="D14" i="10"/>
  <c r="D15" i="10"/>
  <c r="D16" i="10"/>
  <c r="D2" i="9"/>
  <c r="G3" i="9" l="1"/>
  <c r="G4" i="9"/>
  <c r="G5" i="9"/>
  <c r="G6" i="9"/>
  <c r="G7" i="9"/>
  <c r="G8" i="9"/>
  <c r="G9" i="9"/>
  <c r="G10" i="9"/>
  <c r="G11" i="9"/>
  <c r="G12" i="9"/>
  <c r="G13" i="9"/>
  <c r="G14" i="9"/>
  <c r="G15" i="9"/>
  <c r="G16" i="9"/>
  <c r="G17" i="9"/>
  <c r="G18" i="9"/>
  <c r="G19" i="9"/>
  <c r="G20" i="9"/>
  <c r="G21" i="9"/>
  <c r="E3" i="9"/>
  <c r="E4" i="9"/>
  <c r="E5" i="9"/>
  <c r="E6" i="9"/>
  <c r="E7" i="9"/>
  <c r="E8" i="9"/>
  <c r="E9" i="9"/>
  <c r="E10" i="9"/>
  <c r="E11" i="9"/>
  <c r="E12" i="9"/>
  <c r="E13" i="9"/>
  <c r="E14" i="9"/>
  <c r="E15" i="9"/>
  <c r="E16" i="9"/>
  <c r="E17" i="9"/>
  <c r="E18" i="9"/>
  <c r="E19" i="9"/>
  <c r="E20" i="9"/>
  <c r="E21" i="9"/>
  <c r="D3" i="9"/>
  <c r="D4" i="9"/>
  <c r="D5" i="9"/>
  <c r="D6" i="9"/>
  <c r="D7" i="9"/>
  <c r="D8" i="9"/>
  <c r="D9" i="9"/>
  <c r="D10" i="9"/>
  <c r="D11" i="9"/>
  <c r="D12" i="9"/>
  <c r="D13" i="9"/>
  <c r="D14" i="9"/>
  <c r="D15" i="9"/>
  <c r="D16" i="9"/>
  <c r="D17" i="9"/>
  <c r="D18" i="9"/>
  <c r="D19" i="9"/>
  <c r="D20" i="9"/>
  <c r="D21" i="9"/>
  <c r="G2" i="9"/>
  <c r="E2" i="9"/>
</calcChain>
</file>

<file path=xl/sharedStrings.xml><?xml version="1.0" encoding="utf-8"?>
<sst xmlns="http://schemas.openxmlformats.org/spreadsheetml/2006/main" count="895" uniqueCount="53">
  <si>
    <t>Glucose</t>
  </si>
  <si>
    <t>A</t>
  </si>
  <si>
    <t>B</t>
  </si>
  <si>
    <t>C</t>
  </si>
  <si>
    <t>D</t>
  </si>
  <si>
    <t>Insulin</t>
  </si>
  <si>
    <t>Treatment Order</t>
  </si>
  <si>
    <t>Pre</t>
  </si>
  <si>
    <t>Post</t>
  </si>
  <si>
    <t>Cholesterol</t>
  </si>
  <si>
    <t>HDL</t>
  </si>
  <si>
    <t>LDL</t>
  </si>
  <si>
    <t>Chol:HDL</t>
  </si>
  <si>
    <t>TG</t>
  </si>
  <si>
    <t>Non-HDL</t>
  </si>
  <si>
    <t>subject</t>
  </si>
  <si>
    <t>treatment</t>
  </si>
  <si>
    <t>glucose</t>
  </si>
  <si>
    <t>insulin</t>
  </si>
  <si>
    <t>pre</t>
  </si>
  <si>
    <t>post</t>
  </si>
  <si>
    <t>gender</t>
  </si>
  <si>
    <t>weight</t>
  </si>
  <si>
    <t>sample id</t>
  </si>
  <si>
    <t>height</t>
  </si>
  <si>
    <t>timepoint</t>
  </si>
  <si>
    <t>F</t>
  </si>
  <si>
    <t>M</t>
  </si>
  <si>
    <t>age</t>
  </si>
  <si>
    <t>non-HDL</t>
  </si>
  <si>
    <t>timepoint coded</t>
  </si>
  <si>
    <t>BMI</t>
  </si>
  <si>
    <t>Timepoint</t>
  </si>
  <si>
    <t>sv1</t>
  </si>
  <si>
    <t>sv1 avg</t>
  </si>
  <si>
    <t>Weight (kg)</t>
  </si>
  <si>
    <t>Height (cm)</t>
  </si>
  <si>
    <t>BMI (kg/m^2)</t>
  </si>
  <si>
    <t>sv2</t>
  </si>
  <si>
    <t>sv2 avg</t>
  </si>
  <si>
    <t>sv3</t>
  </si>
  <si>
    <t>sv3 avg</t>
  </si>
  <si>
    <t>sv4</t>
  </si>
  <si>
    <t>sv4 avg</t>
  </si>
  <si>
    <t>sv5</t>
  </si>
  <si>
    <t>sv5 avg</t>
  </si>
  <si>
    <t>sv6</t>
  </si>
  <si>
    <t>sv6 avg</t>
  </si>
  <si>
    <t>sv7</t>
  </si>
  <si>
    <t>sv7 avg</t>
  </si>
  <si>
    <t>Diastolic BP</t>
  </si>
  <si>
    <t>Systolic BP</t>
  </si>
  <si>
    <t>sv number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</si>
</sst>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3" x14ac:knownFonts="1">
    <font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/>
        <bgColor indexed="64"/>
      </patternFill>
    </fill>
    <fill>
      <patternFill patternType="solid">
        <fgColor theme="7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0" fillId="0" borderId="0" xfId="0" applyFill="1" applyAlignment="1">
      <alignment horizontal="center" vertical="center"/>
    </xf>
    <xf numFmtId="0" fontId="0" fillId="2" borderId="0" xfId="0" applyFill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0" xfId="0" applyFill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center" vertical="center"/>
    </xf>
    <xf numFmtId="1" fontId="0" fillId="0" borderId="0" xfId="0" applyNumberFormat="1"/>
    <xf numFmtId="164" fontId="0" fillId="0" borderId="0" xfId="0" applyNumberFormat="1"/>
    <xf numFmtId="0" fontId="0" fillId="3" borderId="0" xfId="0" applyFill="1"/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Glucose!$I$2</c:f>
              <c:strCache>
                <c:ptCount val="1"/>
                <c:pt idx="0">
                  <c:v>201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strRef>
              <c:f>Glucose!$J$1:$K$1</c:f>
              <c:strCache>
                <c:ptCount val="2"/>
                <c:pt idx="0">
                  <c:v>Pre</c:v>
                </c:pt>
                <c:pt idx="1">
                  <c:v>Post</c:v>
                </c:pt>
              </c:strCache>
            </c:strRef>
          </c:xVal>
          <c:yVal>
            <c:numRef>
              <c:f>Glucose!$J$2:$K$2</c:f>
              <c:numCache>
                <c:formatCode>General</c:formatCode>
                <c:ptCount val="2"/>
                <c:pt idx="0">
                  <c:v>87</c:v>
                </c:pt>
                <c:pt idx="1">
                  <c:v>87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A34-7443-A3E4-BF5014B46FA0}"/>
            </c:ext>
          </c:extLst>
        </c:ser>
        <c:ser>
          <c:idx val="1"/>
          <c:order val="1"/>
          <c:tx>
            <c:strRef>
              <c:f>Glucose!$I$3</c:f>
              <c:strCache>
                <c:ptCount val="1"/>
                <c:pt idx="0">
                  <c:v>202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strRef>
              <c:f>Glucose!$J$1:$K$1</c:f>
              <c:strCache>
                <c:ptCount val="2"/>
                <c:pt idx="0">
                  <c:v>Pre</c:v>
                </c:pt>
                <c:pt idx="1">
                  <c:v>Post</c:v>
                </c:pt>
              </c:strCache>
            </c:strRef>
          </c:xVal>
          <c:yVal>
            <c:numRef>
              <c:f>Glucose!$J$3:$K$3</c:f>
              <c:numCache>
                <c:formatCode>General</c:formatCode>
                <c:ptCount val="2"/>
                <c:pt idx="0">
                  <c:v>84</c:v>
                </c:pt>
                <c:pt idx="1">
                  <c:v>80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A34-7443-A3E4-BF5014B46FA0}"/>
            </c:ext>
          </c:extLst>
        </c:ser>
        <c:ser>
          <c:idx val="2"/>
          <c:order val="2"/>
          <c:tx>
            <c:strRef>
              <c:f>Glucose!$I$4</c:f>
              <c:strCache>
                <c:ptCount val="1"/>
                <c:pt idx="0">
                  <c:v>203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strRef>
              <c:f>Glucose!$J$1:$K$1</c:f>
              <c:strCache>
                <c:ptCount val="2"/>
                <c:pt idx="0">
                  <c:v>Pre</c:v>
                </c:pt>
                <c:pt idx="1">
                  <c:v>Post</c:v>
                </c:pt>
              </c:strCache>
            </c:strRef>
          </c:xVal>
          <c:yVal>
            <c:numRef>
              <c:f>Glucose!$J$4:$K$4</c:f>
              <c:numCache>
                <c:formatCode>General</c:formatCode>
                <c:ptCount val="2"/>
                <c:pt idx="0">
                  <c:v>83</c:v>
                </c:pt>
                <c:pt idx="1">
                  <c:v>83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DA34-7443-A3E4-BF5014B46FA0}"/>
            </c:ext>
          </c:extLst>
        </c:ser>
        <c:ser>
          <c:idx val="3"/>
          <c:order val="3"/>
          <c:tx>
            <c:strRef>
              <c:f>Glucose!$I$5</c:f>
              <c:strCache>
                <c:ptCount val="1"/>
                <c:pt idx="0">
                  <c:v>204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strRef>
              <c:f>Glucose!$J$1:$K$1</c:f>
              <c:strCache>
                <c:ptCount val="2"/>
                <c:pt idx="0">
                  <c:v>Pre</c:v>
                </c:pt>
                <c:pt idx="1">
                  <c:v>Post</c:v>
                </c:pt>
              </c:strCache>
            </c:strRef>
          </c:xVal>
          <c:yVal>
            <c:numRef>
              <c:f>Glucose!$J$5:$K$5</c:f>
              <c:numCache>
                <c:formatCode>General</c:formatCode>
                <c:ptCount val="2"/>
                <c:pt idx="0">
                  <c:v>89</c:v>
                </c:pt>
                <c:pt idx="1">
                  <c:v>87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DA34-7443-A3E4-BF5014B46FA0}"/>
            </c:ext>
          </c:extLst>
        </c:ser>
        <c:ser>
          <c:idx val="4"/>
          <c:order val="4"/>
          <c:tx>
            <c:strRef>
              <c:f>Glucose!$I$6</c:f>
              <c:strCache>
                <c:ptCount val="1"/>
                <c:pt idx="0">
                  <c:v>205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strRef>
              <c:f>Glucose!$J$1:$K$1</c:f>
              <c:strCache>
                <c:ptCount val="2"/>
                <c:pt idx="0">
                  <c:v>Pre</c:v>
                </c:pt>
                <c:pt idx="1">
                  <c:v>Post</c:v>
                </c:pt>
              </c:strCache>
            </c:strRef>
          </c:xVal>
          <c:yVal>
            <c:numRef>
              <c:f>Glucose!$J$6:$K$6</c:f>
              <c:numCache>
                <c:formatCode>General</c:formatCode>
                <c:ptCount val="2"/>
                <c:pt idx="0">
                  <c:v>79</c:v>
                </c:pt>
                <c:pt idx="1">
                  <c:v>77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DA34-7443-A3E4-BF5014B46FA0}"/>
            </c:ext>
          </c:extLst>
        </c:ser>
        <c:ser>
          <c:idx val="5"/>
          <c:order val="5"/>
          <c:tx>
            <c:strRef>
              <c:f>Glucose!$I$7</c:f>
              <c:strCache>
                <c:ptCount val="1"/>
                <c:pt idx="0">
                  <c:v>206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strRef>
              <c:f>Glucose!$J$1:$K$1</c:f>
              <c:strCache>
                <c:ptCount val="2"/>
                <c:pt idx="0">
                  <c:v>Pre</c:v>
                </c:pt>
                <c:pt idx="1">
                  <c:v>Post</c:v>
                </c:pt>
              </c:strCache>
            </c:strRef>
          </c:xVal>
          <c:yVal>
            <c:numRef>
              <c:f>Glucose!$J$7:$K$7</c:f>
              <c:numCache>
                <c:formatCode>General</c:formatCode>
                <c:ptCount val="2"/>
                <c:pt idx="0">
                  <c:v>83</c:v>
                </c:pt>
                <c:pt idx="1">
                  <c:v>101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DA34-7443-A3E4-BF5014B46FA0}"/>
            </c:ext>
          </c:extLst>
        </c:ser>
        <c:ser>
          <c:idx val="6"/>
          <c:order val="6"/>
          <c:tx>
            <c:strRef>
              <c:f>Glucose!$I$8</c:f>
              <c:strCache>
                <c:ptCount val="1"/>
                <c:pt idx="0">
                  <c:v>208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strRef>
              <c:f>Glucose!$J$1:$K$1</c:f>
              <c:strCache>
                <c:ptCount val="2"/>
                <c:pt idx="0">
                  <c:v>Pre</c:v>
                </c:pt>
                <c:pt idx="1">
                  <c:v>Post</c:v>
                </c:pt>
              </c:strCache>
            </c:strRef>
          </c:xVal>
          <c:yVal>
            <c:numRef>
              <c:f>Glucose!$J$8:$K$8</c:f>
              <c:numCache>
                <c:formatCode>General</c:formatCode>
                <c:ptCount val="2"/>
                <c:pt idx="0">
                  <c:v>86</c:v>
                </c:pt>
                <c:pt idx="1">
                  <c:v>87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DA34-7443-A3E4-BF5014B46FA0}"/>
            </c:ext>
          </c:extLst>
        </c:ser>
        <c:ser>
          <c:idx val="7"/>
          <c:order val="7"/>
          <c:tx>
            <c:strRef>
              <c:f>Glucose!$I$9</c:f>
              <c:strCache>
                <c:ptCount val="1"/>
                <c:pt idx="0">
                  <c:v>209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xVal>
            <c:strRef>
              <c:f>Glucose!$J$1:$K$1</c:f>
              <c:strCache>
                <c:ptCount val="2"/>
                <c:pt idx="0">
                  <c:v>Pre</c:v>
                </c:pt>
                <c:pt idx="1">
                  <c:v>Post</c:v>
                </c:pt>
              </c:strCache>
            </c:strRef>
          </c:xVal>
          <c:yVal>
            <c:numRef>
              <c:f>Glucose!$J$9:$K$9</c:f>
              <c:numCache>
                <c:formatCode>General</c:formatCode>
                <c:ptCount val="2"/>
                <c:pt idx="0">
                  <c:v>83</c:v>
                </c:pt>
                <c:pt idx="1">
                  <c:v>76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DA34-7443-A3E4-BF5014B46FA0}"/>
            </c:ext>
          </c:extLst>
        </c:ser>
        <c:ser>
          <c:idx val="8"/>
          <c:order val="8"/>
          <c:tx>
            <c:strRef>
              <c:f>Glucose!$I$10</c:f>
              <c:strCache>
                <c:ptCount val="1"/>
                <c:pt idx="0">
                  <c:v>210</c:v>
                </c:pt>
              </c:strCache>
            </c:strRef>
          </c:tx>
          <c:spPr>
            <a:ln w="19050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xVal>
            <c:strRef>
              <c:f>Glucose!$J$1:$K$1</c:f>
              <c:strCache>
                <c:ptCount val="2"/>
                <c:pt idx="0">
                  <c:v>Pre</c:v>
                </c:pt>
                <c:pt idx="1">
                  <c:v>Post</c:v>
                </c:pt>
              </c:strCache>
            </c:strRef>
          </c:xVal>
          <c:yVal>
            <c:numRef>
              <c:f>Glucose!$J$10:$K$10</c:f>
              <c:numCache>
                <c:formatCode>General</c:formatCode>
                <c:ptCount val="2"/>
                <c:pt idx="0">
                  <c:v>85</c:v>
                </c:pt>
                <c:pt idx="1">
                  <c:v>83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DA34-7443-A3E4-BF5014B46FA0}"/>
            </c:ext>
          </c:extLst>
        </c:ser>
        <c:ser>
          <c:idx val="9"/>
          <c:order val="9"/>
          <c:tx>
            <c:strRef>
              <c:f>Glucose!$I$11</c:f>
              <c:strCache>
                <c:ptCount val="1"/>
                <c:pt idx="0">
                  <c:v>211</c:v>
                </c:pt>
              </c:strCache>
            </c:strRef>
          </c:tx>
          <c:spPr>
            <a:ln w="19050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xVal>
            <c:strRef>
              <c:f>Glucose!$J$1:$K$1</c:f>
              <c:strCache>
                <c:ptCount val="2"/>
                <c:pt idx="0">
                  <c:v>Pre</c:v>
                </c:pt>
                <c:pt idx="1">
                  <c:v>Post</c:v>
                </c:pt>
              </c:strCache>
            </c:strRef>
          </c:xVal>
          <c:yVal>
            <c:numRef>
              <c:f>Glucose!$J$11:$K$11</c:f>
              <c:numCache>
                <c:formatCode>General</c:formatCode>
                <c:ptCount val="2"/>
                <c:pt idx="0">
                  <c:v>91</c:v>
                </c:pt>
                <c:pt idx="1">
                  <c:v>89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DA34-7443-A3E4-BF5014B46FA0}"/>
            </c:ext>
          </c:extLst>
        </c:ser>
        <c:ser>
          <c:idx val="10"/>
          <c:order val="10"/>
          <c:tx>
            <c:strRef>
              <c:f>Glucose!$I$12</c:f>
              <c:strCache>
                <c:ptCount val="1"/>
                <c:pt idx="0">
                  <c:v>213</c:v>
                </c:pt>
              </c:strCache>
            </c:strRef>
          </c:tx>
          <c:spPr>
            <a:ln w="19050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</a:schemeClr>
              </a:solidFill>
              <a:ln w="9525">
                <a:solidFill>
                  <a:schemeClr val="accent5">
                    <a:lumMod val="60000"/>
                  </a:schemeClr>
                </a:solidFill>
              </a:ln>
              <a:effectLst/>
            </c:spPr>
          </c:marker>
          <c:xVal>
            <c:strRef>
              <c:f>Glucose!$J$1:$K$1</c:f>
              <c:strCache>
                <c:ptCount val="2"/>
                <c:pt idx="0">
                  <c:v>Pre</c:v>
                </c:pt>
                <c:pt idx="1">
                  <c:v>Post</c:v>
                </c:pt>
              </c:strCache>
            </c:strRef>
          </c:xVal>
          <c:yVal>
            <c:numRef>
              <c:f>Glucose!$J$12:$K$12</c:f>
              <c:numCache>
                <c:formatCode>General</c:formatCode>
                <c:ptCount val="2"/>
                <c:pt idx="0">
                  <c:v>69</c:v>
                </c:pt>
                <c:pt idx="1">
                  <c:v>78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DA34-7443-A3E4-BF5014B46FA0}"/>
            </c:ext>
          </c:extLst>
        </c:ser>
        <c:ser>
          <c:idx val="11"/>
          <c:order val="11"/>
          <c:tx>
            <c:strRef>
              <c:f>Glucose!$I$13</c:f>
              <c:strCache>
                <c:ptCount val="1"/>
                <c:pt idx="0">
                  <c:v>214</c:v>
                </c:pt>
              </c:strCache>
            </c:strRef>
          </c:tx>
          <c:spPr>
            <a:ln w="19050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</a:schemeClr>
              </a:solidFill>
              <a:ln w="9525">
                <a:solidFill>
                  <a:schemeClr val="accent6">
                    <a:lumMod val="60000"/>
                  </a:schemeClr>
                </a:solidFill>
              </a:ln>
              <a:effectLst/>
            </c:spPr>
          </c:marker>
          <c:xVal>
            <c:strRef>
              <c:f>Glucose!$J$1:$K$1</c:f>
              <c:strCache>
                <c:ptCount val="2"/>
                <c:pt idx="0">
                  <c:v>Pre</c:v>
                </c:pt>
                <c:pt idx="1">
                  <c:v>Post</c:v>
                </c:pt>
              </c:strCache>
            </c:strRef>
          </c:xVal>
          <c:yVal>
            <c:numRef>
              <c:f>Glucose!$J$13:$K$13</c:f>
              <c:numCache>
                <c:formatCode>General</c:formatCode>
                <c:ptCount val="2"/>
                <c:pt idx="0">
                  <c:v>82</c:v>
                </c:pt>
                <c:pt idx="1">
                  <c:v>82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DA34-7443-A3E4-BF5014B46FA0}"/>
            </c:ext>
          </c:extLst>
        </c:ser>
        <c:ser>
          <c:idx val="12"/>
          <c:order val="12"/>
          <c:tx>
            <c:strRef>
              <c:f>Glucose!$I$14</c:f>
              <c:strCache>
                <c:ptCount val="1"/>
                <c:pt idx="0">
                  <c:v>215</c:v>
                </c:pt>
              </c:strCache>
            </c:strRef>
          </c:tx>
          <c:spPr>
            <a:ln w="19050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  <a:lumOff val="20000"/>
                </a:schemeClr>
              </a:solidFill>
              <a:ln w="9525">
                <a:solidFill>
                  <a:schemeClr val="accent1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strRef>
              <c:f>Glucose!$J$1:$K$1</c:f>
              <c:strCache>
                <c:ptCount val="2"/>
                <c:pt idx="0">
                  <c:v>Pre</c:v>
                </c:pt>
                <c:pt idx="1">
                  <c:v>Post</c:v>
                </c:pt>
              </c:strCache>
            </c:strRef>
          </c:xVal>
          <c:yVal>
            <c:numRef>
              <c:f>Glucose!$J$14:$K$14</c:f>
              <c:numCache>
                <c:formatCode>General</c:formatCode>
                <c:ptCount val="2"/>
                <c:pt idx="0">
                  <c:v>91</c:v>
                </c:pt>
                <c:pt idx="1">
                  <c:v>84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DA34-7443-A3E4-BF5014B46FA0}"/>
            </c:ext>
          </c:extLst>
        </c:ser>
        <c:ser>
          <c:idx val="13"/>
          <c:order val="13"/>
          <c:tx>
            <c:strRef>
              <c:f>Glucose!$I$15</c:f>
              <c:strCache>
                <c:ptCount val="1"/>
                <c:pt idx="0">
                  <c:v>216</c:v>
                </c:pt>
              </c:strCache>
            </c:strRef>
          </c:tx>
          <c:spPr>
            <a:ln w="19050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  <a:lumOff val="20000"/>
                </a:schemeClr>
              </a:solidFill>
              <a:ln w="9525">
                <a:solidFill>
                  <a:schemeClr val="accent2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strRef>
              <c:f>Glucose!$J$1:$K$1</c:f>
              <c:strCache>
                <c:ptCount val="2"/>
                <c:pt idx="0">
                  <c:v>Pre</c:v>
                </c:pt>
                <c:pt idx="1">
                  <c:v>Post</c:v>
                </c:pt>
              </c:strCache>
            </c:strRef>
          </c:xVal>
          <c:yVal>
            <c:numRef>
              <c:f>Glucose!$J$15:$K$15</c:f>
              <c:numCache>
                <c:formatCode>General</c:formatCode>
                <c:ptCount val="2"/>
                <c:pt idx="0">
                  <c:v>83</c:v>
                </c:pt>
                <c:pt idx="1">
                  <c:v>79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D-DA34-7443-A3E4-BF5014B46FA0}"/>
            </c:ext>
          </c:extLst>
        </c:ser>
        <c:ser>
          <c:idx val="14"/>
          <c:order val="14"/>
          <c:tx>
            <c:strRef>
              <c:f>Glucose!$I$16</c:f>
              <c:strCache>
                <c:ptCount val="1"/>
                <c:pt idx="0">
                  <c:v>218</c:v>
                </c:pt>
              </c:strCache>
            </c:strRef>
          </c:tx>
          <c:spPr>
            <a:ln w="19050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  <a:lumOff val="20000"/>
                </a:schemeClr>
              </a:solidFill>
              <a:ln w="9525">
                <a:solidFill>
                  <a:schemeClr val="accent3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strRef>
              <c:f>Glucose!$J$1:$K$1</c:f>
              <c:strCache>
                <c:ptCount val="2"/>
                <c:pt idx="0">
                  <c:v>Pre</c:v>
                </c:pt>
                <c:pt idx="1">
                  <c:v>Post</c:v>
                </c:pt>
              </c:strCache>
            </c:strRef>
          </c:xVal>
          <c:yVal>
            <c:numRef>
              <c:f>Glucose!$J$16:$K$16</c:f>
              <c:numCache>
                <c:formatCode>General</c:formatCode>
                <c:ptCount val="2"/>
                <c:pt idx="0">
                  <c:v>104</c:v>
                </c:pt>
                <c:pt idx="1">
                  <c:v>100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E-DA34-7443-A3E4-BF5014B46FA0}"/>
            </c:ext>
          </c:extLst>
        </c:ser>
        <c:ser>
          <c:idx val="15"/>
          <c:order val="15"/>
          <c:tx>
            <c:strRef>
              <c:f>Glucose!$I$17</c:f>
              <c:strCache>
                <c:ptCount val="1"/>
                <c:pt idx="0">
                  <c:v>220</c:v>
                </c:pt>
              </c:strCache>
            </c:strRef>
          </c:tx>
          <c:spPr>
            <a:ln w="19050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80000"/>
                  <a:lumOff val="20000"/>
                </a:schemeClr>
              </a:solidFill>
              <a:ln w="9525">
                <a:solidFill>
                  <a:schemeClr val="accent4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strRef>
              <c:f>Glucose!$J$1:$K$1</c:f>
              <c:strCache>
                <c:ptCount val="2"/>
                <c:pt idx="0">
                  <c:v>Pre</c:v>
                </c:pt>
                <c:pt idx="1">
                  <c:v>Post</c:v>
                </c:pt>
              </c:strCache>
            </c:strRef>
          </c:xVal>
          <c:yVal>
            <c:numRef>
              <c:f>Glucose!$J$17:$K$17</c:f>
              <c:numCache>
                <c:formatCode>General</c:formatCode>
                <c:ptCount val="2"/>
                <c:pt idx="0">
                  <c:v>88</c:v>
                </c:pt>
                <c:pt idx="1">
                  <c:v>81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F-DA34-7443-A3E4-BF5014B46FA0}"/>
            </c:ext>
          </c:extLst>
        </c:ser>
        <c:ser>
          <c:idx val="16"/>
          <c:order val="16"/>
          <c:tx>
            <c:strRef>
              <c:f>Glucose!$I$18</c:f>
              <c:strCache>
                <c:ptCount val="1"/>
                <c:pt idx="0">
                  <c:v>221</c:v>
                </c:pt>
              </c:strCache>
            </c:strRef>
          </c:tx>
          <c:spPr>
            <a:ln w="19050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80000"/>
                  <a:lumOff val="20000"/>
                </a:schemeClr>
              </a:solidFill>
              <a:ln w="9525">
                <a:solidFill>
                  <a:schemeClr val="accent5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strRef>
              <c:f>Glucose!$J$1:$K$1</c:f>
              <c:strCache>
                <c:ptCount val="2"/>
                <c:pt idx="0">
                  <c:v>Pre</c:v>
                </c:pt>
                <c:pt idx="1">
                  <c:v>Post</c:v>
                </c:pt>
              </c:strCache>
            </c:strRef>
          </c:xVal>
          <c:yVal>
            <c:numRef>
              <c:f>Glucose!$J$18:$K$18</c:f>
              <c:numCache>
                <c:formatCode>General</c:formatCode>
                <c:ptCount val="2"/>
                <c:pt idx="0">
                  <c:v>81</c:v>
                </c:pt>
                <c:pt idx="1">
                  <c:v>80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0-DA34-7443-A3E4-BF5014B46FA0}"/>
            </c:ext>
          </c:extLst>
        </c:ser>
        <c:ser>
          <c:idx val="17"/>
          <c:order val="17"/>
          <c:tx>
            <c:strRef>
              <c:f>Glucose!$I$19</c:f>
              <c:strCache>
                <c:ptCount val="1"/>
                <c:pt idx="0">
                  <c:v>222</c:v>
                </c:pt>
              </c:strCache>
            </c:strRef>
          </c:tx>
          <c:spPr>
            <a:ln w="19050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80000"/>
                  <a:lumOff val="20000"/>
                </a:schemeClr>
              </a:solidFill>
              <a:ln w="9525">
                <a:solidFill>
                  <a:schemeClr val="accent6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strRef>
              <c:f>Glucose!$J$1:$K$1</c:f>
              <c:strCache>
                <c:ptCount val="2"/>
                <c:pt idx="0">
                  <c:v>Pre</c:v>
                </c:pt>
                <c:pt idx="1">
                  <c:v>Post</c:v>
                </c:pt>
              </c:strCache>
            </c:strRef>
          </c:xVal>
          <c:yVal>
            <c:numRef>
              <c:f>Glucose!$J$19:$K$19</c:f>
              <c:numCache>
                <c:formatCode>General</c:formatCode>
                <c:ptCount val="2"/>
                <c:pt idx="0">
                  <c:v>91</c:v>
                </c:pt>
                <c:pt idx="1">
                  <c:v>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1-DA34-7443-A3E4-BF5014B46FA0}"/>
            </c:ext>
          </c:extLst>
        </c:ser>
        <c:ser>
          <c:idx val="18"/>
          <c:order val="18"/>
          <c:tx>
            <c:strRef>
              <c:f>Glucose!$I$20</c:f>
              <c:strCache>
                <c:ptCount val="1"/>
                <c:pt idx="0">
                  <c:v>223</c:v>
                </c:pt>
              </c:strCache>
            </c:strRef>
          </c:tx>
          <c:spPr>
            <a:ln w="19050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</a:schemeClr>
              </a:solidFill>
              <a:ln w="9525">
                <a:solidFill>
                  <a:schemeClr val="accent1">
                    <a:lumMod val="80000"/>
                  </a:schemeClr>
                </a:solidFill>
              </a:ln>
              <a:effectLst/>
            </c:spPr>
          </c:marker>
          <c:xVal>
            <c:strRef>
              <c:f>Glucose!$J$1:$K$1</c:f>
              <c:strCache>
                <c:ptCount val="2"/>
                <c:pt idx="0">
                  <c:v>Pre</c:v>
                </c:pt>
                <c:pt idx="1">
                  <c:v>Post</c:v>
                </c:pt>
              </c:strCache>
            </c:strRef>
          </c:xVal>
          <c:yVal>
            <c:numRef>
              <c:f>Glucose!$J$20:$K$20</c:f>
              <c:numCache>
                <c:formatCode>General</c:formatCode>
                <c:ptCount val="2"/>
                <c:pt idx="0">
                  <c:v>95</c:v>
                </c:pt>
                <c:pt idx="1">
                  <c:v>87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2-DA34-7443-A3E4-BF5014B46FA0}"/>
            </c:ext>
          </c:extLst>
        </c:ser>
        <c:ser>
          <c:idx val="19"/>
          <c:order val="19"/>
          <c:tx>
            <c:strRef>
              <c:f>Glucose!$I$21</c:f>
              <c:strCache>
                <c:ptCount val="1"/>
                <c:pt idx="0">
                  <c:v>224</c:v>
                </c:pt>
              </c:strCache>
            </c:strRef>
          </c:tx>
          <c:spPr>
            <a:ln w="19050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</a:schemeClr>
              </a:solidFill>
              <a:ln w="9525">
                <a:solidFill>
                  <a:schemeClr val="accent2">
                    <a:lumMod val="80000"/>
                  </a:schemeClr>
                </a:solidFill>
              </a:ln>
              <a:effectLst/>
            </c:spPr>
          </c:marker>
          <c:xVal>
            <c:strRef>
              <c:f>Glucose!$J$1:$K$1</c:f>
              <c:strCache>
                <c:ptCount val="2"/>
                <c:pt idx="0">
                  <c:v>Pre</c:v>
                </c:pt>
                <c:pt idx="1">
                  <c:v>Post</c:v>
                </c:pt>
              </c:strCache>
            </c:strRef>
          </c:xVal>
          <c:yVal>
            <c:numRef>
              <c:f>Glucose!$J$21:$K$21</c:f>
              <c:numCache>
                <c:formatCode>General</c:formatCode>
                <c:ptCount val="2"/>
                <c:pt idx="0">
                  <c:v>89</c:v>
                </c:pt>
                <c:pt idx="1">
                  <c:v>90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3-DA34-7443-A3E4-BF5014B46FA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94473040"/>
        <c:axId val="494474672"/>
      </c:scatterChart>
      <c:valAx>
        <c:axId val="4944730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4474672"/>
        <c:crosses val="autoZero"/>
        <c:crossBetween val="midCat"/>
      </c:valAx>
      <c:valAx>
        <c:axId val="4944746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447304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Glucose!$M$2</c:f>
              <c:strCache>
                <c:ptCount val="1"/>
                <c:pt idx="0">
                  <c:v>201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strRef>
              <c:f>Glucose!$N$1:$O$1</c:f>
              <c:strCache>
                <c:ptCount val="2"/>
                <c:pt idx="0">
                  <c:v>Pre</c:v>
                </c:pt>
                <c:pt idx="1">
                  <c:v>Post</c:v>
                </c:pt>
              </c:strCache>
            </c:strRef>
          </c:xVal>
          <c:yVal>
            <c:numRef>
              <c:f>Glucose!$N$2:$O$2</c:f>
              <c:numCache>
                <c:formatCode>General</c:formatCode>
                <c:ptCount val="2"/>
                <c:pt idx="0">
                  <c:v>81</c:v>
                </c:pt>
                <c:pt idx="1">
                  <c:v>77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759-E24C-93A2-ACD0A50F814D}"/>
            </c:ext>
          </c:extLst>
        </c:ser>
        <c:ser>
          <c:idx val="1"/>
          <c:order val="1"/>
          <c:tx>
            <c:strRef>
              <c:f>Glucose!$M$3</c:f>
              <c:strCache>
                <c:ptCount val="1"/>
                <c:pt idx="0">
                  <c:v>202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strRef>
              <c:f>Glucose!$N$1:$O$1</c:f>
              <c:strCache>
                <c:ptCount val="2"/>
                <c:pt idx="0">
                  <c:v>Pre</c:v>
                </c:pt>
                <c:pt idx="1">
                  <c:v>Post</c:v>
                </c:pt>
              </c:strCache>
            </c:strRef>
          </c:xVal>
          <c:yVal>
            <c:numRef>
              <c:f>Glucose!$N$3:$O$3</c:f>
              <c:numCache>
                <c:formatCode>General</c:formatCode>
                <c:ptCount val="2"/>
                <c:pt idx="0">
                  <c:v>91</c:v>
                </c:pt>
                <c:pt idx="1">
                  <c:v>87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759-E24C-93A2-ACD0A50F814D}"/>
            </c:ext>
          </c:extLst>
        </c:ser>
        <c:ser>
          <c:idx val="2"/>
          <c:order val="2"/>
          <c:tx>
            <c:strRef>
              <c:f>Glucose!$M$4</c:f>
              <c:strCache>
                <c:ptCount val="1"/>
                <c:pt idx="0">
                  <c:v>203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strRef>
              <c:f>Glucose!$N$1:$O$1</c:f>
              <c:strCache>
                <c:ptCount val="2"/>
                <c:pt idx="0">
                  <c:v>Pre</c:v>
                </c:pt>
                <c:pt idx="1">
                  <c:v>Post</c:v>
                </c:pt>
              </c:strCache>
            </c:strRef>
          </c:xVal>
          <c:yVal>
            <c:numRef>
              <c:f>Glucose!$N$4:$O$4</c:f>
              <c:numCache>
                <c:formatCode>General</c:formatCode>
                <c:ptCount val="2"/>
                <c:pt idx="0">
                  <c:v>77</c:v>
                </c:pt>
                <c:pt idx="1">
                  <c:v>83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0759-E24C-93A2-ACD0A50F814D}"/>
            </c:ext>
          </c:extLst>
        </c:ser>
        <c:ser>
          <c:idx val="3"/>
          <c:order val="3"/>
          <c:tx>
            <c:strRef>
              <c:f>Glucose!$M$5</c:f>
              <c:strCache>
                <c:ptCount val="1"/>
                <c:pt idx="0">
                  <c:v>204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strRef>
              <c:f>Glucose!$N$1:$O$1</c:f>
              <c:strCache>
                <c:ptCount val="2"/>
                <c:pt idx="0">
                  <c:v>Pre</c:v>
                </c:pt>
                <c:pt idx="1">
                  <c:v>Post</c:v>
                </c:pt>
              </c:strCache>
            </c:strRef>
          </c:xVal>
          <c:yVal>
            <c:numRef>
              <c:f>Glucose!$N$5:$O$5</c:f>
              <c:numCache>
                <c:formatCode>General</c:formatCode>
                <c:ptCount val="2"/>
                <c:pt idx="0">
                  <c:v>79</c:v>
                </c:pt>
                <c:pt idx="1">
                  <c:v>88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0759-E24C-93A2-ACD0A50F814D}"/>
            </c:ext>
          </c:extLst>
        </c:ser>
        <c:ser>
          <c:idx val="4"/>
          <c:order val="4"/>
          <c:tx>
            <c:strRef>
              <c:f>Glucose!$M$6</c:f>
              <c:strCache>
                <c:ptCount val="1"/>
                <c:pt idx="0">
                  <c:v>205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strRef>
              <c:f>Glucose!$N$1:$O$1</c:f>
              <c:strCache>
                <c:ptCount val="2"/>
                <c:pt idx="0">
                  <c:v>Pre</c:v>
                </c:pt>
                <c:pt idx="1">
                  <c:v>Post</c:v>
                </c:pt>
              </c:strCache>
            </c:strRef>
          </c:xVal>
          <c:yVal>
            <c:numRef>
              <c:f>Glucose!$N$6:$O$6</c:f>
              <c:numCache>
                <c:formatCode>General</c:formatCode>
                <c:ptCount val="2"/>
                <c:pt idx="0">
                  <c:v>84</c:v>
                </c:pt>
                <c:pt idx="1">
                  <c:v>82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0759-E24C-93A2-ACD0A50F814D}"/>
            </c:ext>
          </c:extLst>
        </c:ser>
        <c:ser>
          <c:idx val="5"/>
          <c:order val="5"/>
          <c:tx>
            <c:strRef>
              <c:f>Glucose!$M$7</c:f>
              <c:strCache>
                <c:ptCount val="1"/>
                <c:pt idx="0">
                  <c:v>206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strRef>
              <c:f>Glucose!$N$1:$O$1</c:f>
              <c:strCache>
                <c:ptCount val="2"/>
                <c:pt idx="0">
                  <c:v>Pre</c:v>
                </c:pt>
                <c:pt idx="1">
                  <c:v>Post</c:v>
                </c:pt>
              </c:strCache>
            </c:strRef>
          </c:xVal>
          <c:yVal>
            <c:numRef>
              <c:f>Glucose!$N$7:$O$7</c:f>
              <c:numCache>
                <c:formatCode>General</c:formatCode>
                <c:ptCount val="2"/>
                <c:pt idx="0">
                  <c:v>81</c:v>
                </c:pt>
                <c:pt idx="1">
                  <c:v>81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0759-E24C-93A2-ACD0A50F814D}"/>
            </c:ext>
          </c:extLst>
        </c:ser>
        <c:ser>
          <c:idx val="6"/>
          <c:order val="6"/>
          <c:tx>
            <c:strRef>
              <c:f>Glucose!$M$8</c:f>
              <c:strCache>
                <c:ptCount val="1"/>
                <c:pt idx="0">
                  <c:v>208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strRef>
              <c:f>Glucose!$N$1:$O$1</c:f>
              <c:strCache>
                <c:ptCount val="2"/>
                <c:pt idx="0">
                  <c:v>Pre</c:v>
                </c:pt>
                <c:pt idx="1">
                  <c:v>Post</c:v>
                </c:pt>
              </c:strCache>
            </c:strRef>
          </c:xVal>
          <c:yVal>
            <c:numRef>
              <c:f>Glucose!$N$8:$O$8</c:f>
              <c:numCache>
                <c:formatCode>General</c:formatCode>
                <c:ptCount val="2"/>
                <c:pt idx="0">
                  <c:v>70</c:v>
                </c:pt>
                <c:pt idx="1">
                  <c:v>75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0759-E24C-93A2-ACD0A50F814D}"/>
            </c:ext>
          </c:extLst>
        </c:ser>
        <c:ser>
          <c:idx val="7"/>
          <c:order val="7"/>
          <c:tx>
            <c:strRef>
              <c:f>Glucose!$M$9</c:f>
              <c:strCache>
                <c:ptCount val="1"/>
                <c:pt idx="0">
                  <c:v>209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xVal>
            <c:strRef>
              <c:f>Glucose!$N$1:$O$1</c:f>
              <c:strCache>
                <c:ptCount val="2"/>
                <c:pt idx="0">
                  <c:v>Pre</c:v>
                </c:pt>
                <c:pt idx="1">
                  <c:v>Post</c:v>
                </c:pt>
              </c:strCache>
            </c:strRef>
          </c:xVal>
          <c:yVal>
            <c:numRef>
              <c:f>Glucose!$N$9:$O$9</c:f>
              <c:numCache>
                <c:formatCode>General</c:formatCode>
                <c:ptCount val="2"/>
                <c:pt idx="0">
                  <c:v>85</c:v>
                </c:pt>
                <c:pt idx="1">
                  <c:v>91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0759-E24C-93A2-ACD0A50F814D}"/>
            </c:ext>
          </c:extLst>
        </c:ser>
        <c:ser>
          <c:idx val="8"/>
          <c:order val="8"/>
          <c:tx>
            <c:strRef>
              <c:f>Glucose!$M$10</c:f>
              <c:strCache>
                <c:ptCount val="1"/>
                <c:pt idx="0">
                  <c:v>210</c:v>
                </c:pt>
              </c:strCache>
            </c:strRef>
          </c:tx>
          <c:spPr>
            <a:ln w="19050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xVal>
            <c:strRef>
              <c:f>Glucose!$N$1:$O$1</c:f>
              <c:strCache>
                <c:ptCount val="2"/>
                <c:pt idx="0">
                  <c:v>Pre</c:v>
                </c:pt>
                <c:pt idx="1">
                  <c:v>Post</c:v>
                </c:pt>
              </c:strCache>
            </c:strRef>
          </c:xVal>
          <c:yVal>
            <c:numRef>
              <c:f>Glucose!$N$10:$O$10</c:f>
              <c:numCache>
                <c:formatCode>General</c:formatCode>
                <c:ptCount val="2"/>
                <c:pt idx="0">
                  <c:v>84</c:v>
                </c:pt>
                <c:pt idx="1">
                  <c:v>81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0759-E24C-93A2-ACD0A50F814D}"/>
            </c:ext>
          </c:extLst>
        </c:ser>
        <c:ser>
          <c:idx val="9"/>
          <c:order val="9"/>
          <c:tx>
            <c:strRef>
              <c:f>Glucose!$M$11</c:f>
              <c:strCache>
                <c:ptCount val="1"/>
                <c:pt idx="0">
                  <c:v>211</c:v>
                </c:pt>
              </c:strCache>
            </c:strRef>
          </c:tx>
          <c:spPr>
            <a:ln w="19050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xVal>
            <c:strRef>
              <c:f>Glucose!$N$1:$O$1</c:f>
              <c:strCache>
                <c:ptCount val="2"/>
                <c:pt idx="0">
                  <c:v>Pre</c:v>
                </c:pt>
                <c:pt idx="1">
                  <c:v>Post</c:v>
                </c:pt>
              </c:strCache>
            </c:strRef>
          </c:xVal>
          <c:yVal>
            <c:numRef>
              <c:f>Glucose!$N$11:$O$11</c:f>
              <c:numCache>
                <c:formatCode>General</c:formatCode>
                <c:ptCount val="2"/>
                <c:pt idx="0">
                  <c:v>85</c:v>
                </c:pt>
                <c:pt idx="1">
                  <c:v>76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0759-E24C-93A2-ACD0A50F814D}"/>
            </c:ext>
          </c:extLst>
        </c:ser>
        <c:ser>
          <c:idx val="10"/>
          <c:order val="10"/>
          <c:tx>
            <c:strRef>
              <c:f>Glucose!$M$12</c:f>
              <c:strCache>
                <c:ptCount val="1"/>
                <c:pt idx="0">
                  <c:v>213</c:v>
                </c:pt>
              </c:strCache>
            </c:strRef>
          </c:tx>
          <c:spPr>
            <a:ln w="19050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</a:schemeClr>
              </a:solidFill>
              <a:ln w="9525">
                <a:solidFill>
                  <a:schemeClr val="accent5">
                    <a:lumMod val="60000"/>
                  </a:schemeClr>
                </a:solidFill>
              </a:ln>
              <a:effectLst/>
            </c:spPr>
          </c:marker>
          <c:xVal>
            <c:strRef>
              <c:f>Glucose!$N$1:$O$1</c:f>
              <c:strCache>
                <c:ptCount val="2"/>
                <c:pt idx="0">
                  <c:v>Pre</c:v>
                </c:pt>
                <c:pt idx="1">
                  <c:v>Post</c:v>
                </c:pt>
              </c:strCache>
            </c:strRef>
          </c:xVal>
          <c:yVal>
            <c:numRef>
              <c:f>Glucose!$N$12:$O$12</c:f>
              <c:numCache>
                <c:formatCode>General</c:formatCode>
                <c:ptCount val="2"/>
                <c:pt idx="0">
                  <c:v>93</c:v>
                </c:pt>
                <c:pt idx="1">
                  <c:v>94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0759-E24C-93A2-ACD0A50F814D}"/>
            </c:ext>
          </c:extLst>
        </c:ser>
        <c:ser>
          <c:idx val="11"/>
          <c:order val="11"/>
          <c:tx>
            <c:strRef>
              <c:f>Glucose!$M$13</c:f>
              <c:strCache>
                <c:ptCount val="1"/>
                <c:pt idx="0">
                  <c:v>214</c:v>
                </c:pt>
              </c:strCache>
            </c:strRef>
          </c:tx>
          <c:spPr>
            <a:ln w="19050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</a:schemeClr>
              </a:solidFill>
              <a:ln w="9525">
                <a:solidFill>
                  <a:schemeClr val="accent6">
                    <a:lumMod val="60000"/>
                  </a:schemeClr>
                </a:solidFill>
              </a:ln>
              <a:effectLst/>
            </c:spPr>
          </c:marker>
          <c:xVal>
            <c:strRef>
              <c:f>Glucose!$N$1:$O$1</c:f>
              <c:strCache>
                <c:ptCount val="2"/>
                <c:pt idx="0">
                  <c:v>Pre</c:v>
                </c:pt>
                <c:pt idx="1">
                  <c:v>Post</c:v>
                </c:pt>
              </c:strCache>
            </c:strRef>
          </c:xVal>
          <c:yVal>
            <c:numRef>
              <c:f>Glucose!$N$13:$O$13</c:f>
              <c:numCache>
                <c:formatCode>General</c:formatCode>
                <c:ptCount val="2"/>
                <c:pt idx="0">
                  <c:v>85</c:v>
                </c:pt>
                <c:pt idx="1">
                  <c:v>84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0759-E24C-93A2-ACD0A50F814D}"/>
            </c:ext>
          </c:extLst>
        </c:ser>
        <c:ser>
          <c:idx val="12"/>
          <c:order val="12"/>
          <c:tx>
            <c:strRef>
              <c:f>Glucose!$M$14</c:f>
              <c:strCache>
                <c:ptCount val="1"/>
                <c:pt idx="0">
                  <c:v>215</c:v>
                </c:pt>
              </c:strCache>
            </c:strRef>
          </c:tx>
          <c:spPr>
            <a:ln w="19050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  <a:lumOff val="20000"/>
                </a:schemeClr>
              </a:solidFill>
              <a:ln w="9525">
                <a:solidFill>
                  <a:schemeClr val="accent1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strRef>
              <c:f>Glucose!$N$1:$O$1</c:f>
              <c:strCache>
                <c:ptCount val="2"/>
                <c:pt idx="0">
                  <c:v>Pre</c:v>
                </c:pt>
                <c:pt idx="1">
                  <c:v>Post</c:v>
                </c:pt>
              </c:strCache>
            </c:strRef>
          </c:xVal>
          <c:yVal>
            <c:numRef>
              <c:f>Glucose!$N$14:$O$14</c:f>
              <c:numCache>
                <c:formatCode>General</c:formatCode>
                <c:ptCount val="2"/>
                <c:pt idx="0">
                  <c:v>84</c:v>
                </c:pt>
                <c:pt idx="1">
                  <c:v>88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0759-E24C-93A2-ACD0A50F814D}"/>
            </c:ext>
          </c:extLst>
        </c:ser>
        <c:ser>
          <c:idx val="13"/>
          <c:order val="13"/>
          <c:tx>
            <c:strRef>
              <c:f>Glucose!$M$15</c:f>
              <c:strCache>
                <c:ptCount val="1"/>
                <c:pt idx="0">
                  <c:v>216</c:v>
                </c:pt>
              </c:strCache>
            </c:strRef>
          </c:tx>
          <c:spPr>
            <a:ln w="19050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  <a:lumOff val="20000"/>
                </a:schemeClr>
              </a:solidFill>
              <a:ln w="9525">
                <a:solidFill>
                  <a:schemeClr val="accent2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strRef>
              <c:f>Glucose!$N$1:$O$1</c:f>
              <c:strCache>
                <c:ptCount val="2"/>
                <c:pt idx="0">
                  <c:v>Pre</c:v>
                </c:pt>
                <c:pt idx="1">
                  <c:v>Post</c:v>
                </c:pt>
              </c:strCache>
            </c:strRef>
          </c:xVal>
          <c:yVal>
            <c:numRef>
              <c:f>Glucose!$N$15:$O$15</c:f>
              <c:numCache>
                <c:formatCode>General</c:formatCode>
                <c:ptCount val="2"/>
                <c:pt idx="0">
                  <c:v>85</c:v>
                </c:pt>
                <c:pt idx="1">
                  <c:v>76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D-0759-E24C-93A2-ACD0A50F814D}"/>
            </c:ext>
          </c:extLst>
        </c:ser>
        <c:ser>
          <c:idx val="14"/>
          <c:order val="14"/>
          <c:tx>
            <c:strRef>
              <c:f>Glucose!$M$16</c:f>
              <c:strCache>
                <c:ptCount val="1"/>
                <c:pt idx="0">
                  <c:v>218</c:v>
                </c:pt>
              </c:strCache>
            </c:strRef>
          </c:tx>
          <c:spPr>
            <a:ln w="19050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  <a:lumOff val="20000"/>
                </a:schemeClr>
              </a:solidFill>
              <a:ln w="9525">
                <a:solidFill>
                  <a:schemeClr val="accent3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strRef>
              <c:f>Glucose!$N$1:$O$1</c:f>
              <c:strCache>
                <c:ptCount val="2"/>
                <c:pt idx="0">
                  <c:v>Pre</c:v>
                </c:pt>
                <c:pt idx="1">
                  <c:v>Post</c:v>
                </c:pt>
              </c:strCache>
            </c:strRef>
          </c:xVal>
          <c:yVal>
            <c:numRef>
              <c:f>Glucose!$N$16:$O$16</c:f>
              <c:numCache>
                <c:formatCode>General</c:formatCode>
                <c:ptCount val="2"/>
                <c:pt idx="0">
                  <c:v>96</c:v>
                </c:pt>
                <c:pt idx="1">
                  <c:v>94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E-0759-E24C-93A2-ACD0A50F814D}"/>
            </c:ext>
          </c:extLst>
        </c:ser>
        <c:ser>
          <c:idx val="15"/>
          <c:order val="15"/>
          <c:tx>
            <c:strRef>
              <c:f>Glucose!$M$17</c:f>
              <c:strCache>
                <c:ptCount val="1"/>
                <c:pt idx="0">
                  <c:v>220</c:v>
                </c:pt>
              </c:strCache>
            </c:strRef>
          </c:tx>
          <c:spPr>
            <a:ln w="19050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80000"/>
                  <a:lumOff val="20000"/>
                </a:schemeClr>
              </a:solidFill>
              <a:ln w="9525">
                <a:solidFill>
                  <a:schemeClr val="accent4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strRef>
              <c:f>Glucose!$N$1:$O$1</c:f>
              <c:strCache>
                <c:ptCount val="2"/>
                <c:pt idx="0">
                  <c:v>Pre</c:v>
                </c:pt>
                <c:pt idx="1">
                  <c:v>Post</c:v>
                </c:pt>
              </c:strCache>
            </c:strRef>
          </c:xVal>
          <c:yVal>
            <c:numRef>
              <c:f>Glucose!$N$17:$O$17</c:f>
              <c:numCache>
                <c:formatCode>General</c:formatCode>
                <c:ptCount val="2"/>
                <c:pt idx="0">
                  <c:v>73</c:v>
                </c:pt>
                <c:pt idx="1">
                  <c:v>89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F-0759-E24C-93A2-ACD0A50F814D}"/>
            </c:ext>
          </c:extLst>
        </c:ser>
        <c:ser>
          <c:idx val="16"/>
          <c:order val="16"/>
          <c:tx>
            <c:strRef>
              <c:f>Glucose!$M$18</c:f>
              <c:strCache>
                <c:ptCount val="1"/>
                <c:pt idx="0">
                  <c:v>221</c:v>
                </c:pt>
              </c:strCache>
            </c:strRef>
          </c:tx>
          <c:spPr>
            <a:ln w="19050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80000"/>
                  <a:lumOff val="20000"/>
                </a:schemeClr>
              </a:solidFill>
              <a:ln w="9525">
                <a:solidFill>
                  <a:schemeClr val="accent5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strRef>
              <c:f>Glucose!$N$1:$O$1</c:f>
              <c:strCache>
                <c:ptCount val="2"/>
                <c:pt idx="0">
                  <c:v>Pre</c:v>
                </c:pt>
                <c:pt idx="1">
                  <c:v>Post</c:v>
                </c:pt>
              </c:strCache>
            </c:strRef>
          </c:xVal>
          <c:yVal>
            <c:numRef>
              <c:f>Glucose!$N$18:$O$18</c:f>
              <c:numCache>
                <c:formatCode>General</c:formatCode>
                <c:ptCount val="2"/>
                <c:pt idx="0">
                  <c:v>82</c:v>
                </c:pt>
                <c:pt idx="1">
                  <c:v>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0-0759-E24C-93A2-ACD0A50F814D}"/>
            </c:ext>
          </c:extLst>
        </c:ser>
        <c:ser>
          <c:idx val="17"/>
          <c:order val="17"/>
          <c:tx>
            <c:strRef>
              <c:f>Glucose!$M$19</c:f>
              <c:strCache>
                <c:ptCount val="1"/>
                <c:pt idx="0">
                  <c:v>222</c:v>
                </c:pt>
              </c:strCache>
            </c:strRef>
          </c:tx>
          <c:spPr>
            <a:ln w="19050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80000"/>
                  <a:lumOff val="20000"/>
                </a:schemeClr>
              </a:solidFill>
              <a:ln w="9525">
                <a:solidFill>
                  <a:schemeClr val="accent6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strRef>
              <c:f>Glucose!$N$1:$O$1</c:f>
              <c:strCache>
                <c:ptCount val="2"/>
                <c:pt idx="0">
                  <c:v>Pre</c:v>
                </c:pt>
                <c:pt idx="1">
                  <c:v>Post</c:v>
                </c:pt>
              </c:strCache>
            </c:strRef>
          </c:xVal>
          <c:yVal>
            <c:numRef>
              <c:f>Glucose!$N$19:$O$19</c:f>
              <c:numCache>
                <c:formatCode>General</c:formatCode>
                <c:ptCount val="2"/>
                <c:pt idx="0">
                  <c:v>81</c:v>
                </c:pt>
                <c:pt idx="1">
                  <c:v>92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1-0759-E24C-93A2-ACD0A50F814D}"/>
            </c:ext>
          </c:extLst>
        </c:ser>
        <c:ser>
          <c:idx val="18"/>
          <c:order val="18"/>
          <c:tx>
            <c:strRef>
              <c:f>Glucose!$M$20</c:f>
              <c:strCache>
                <c:ptCount val="1"/>
                <c:pt idx="0">
                  <c:v>223</c:v>
                </c:pt>
              </c:strCache>
            </c:strRef>
          </c:tx>
          <c:spPr>
            <a:ln w="19050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</a:schemeClr>
              </a:solidFill>
              <a:ln w="9525">
                <a:solidFill>
                  <a:schemeClr val="accent1">
                    <a:lumMod val="80000"/>
                  </a:schemeClr>
                </a:solidFill>
              </a:ln>
              <a:effectLst/>
            </c:spPr>
          </c:marker>
          <c:xVal>
            <c:strRef>
              <c:f>Glucose!$N$1:$O$1</c:f>
              <c:strCache>
                <c:ptCount val="2"/>
                <c:pt idx="0">
                  <c:v>Pre</c:v>
                </c:pt>
                <c:pt idx="1">
                  <c:v>Post</c:v>
                </c:pt>
              </c:strCache>
            </c:strRef>
          </c:xVal>
          <c:yVal>
            <c:numRef>
              <c:f>Glucose!$N$20:$O$20</c:f>
              <c:numCache>
                <c:formatCode>General</c:formatCode>
                <c:ptCount val="2"/>
                <c:pt idx="0">
                  <c:v>84</c:v>
                </c:pt>
                <c:pt idx="1">
                  <c:v>78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2-0759-E24C-93A2-ACD0A50F814D}"/>
            </c:ext>
          </c:extLst>
        </c:ser>
        <c:ser>
          <c:idx val="19"/>
          <c:order val="19"/>
          <c:tx>
            <c:strRef>
              <c:f>Glucose!$M$21</c:f>
              <c:strCache>
                <c:ptCount val="1"/>
                <c:pt idx="0">
                  <c:v>224</c:v>
                </c:pt>
              </c:strCache>
            </c:strRef>
          </c:tx>
          <c:spPr>
            <a:ln w="19050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</a:schemeClr>
              </a:solidFill>
              <a:ln w="9525">
                <a:solidFill>
                  <a:schemeClr val="accent2">
                    <a:lumMod val="80000"/>
                  </a:schemeClr>
                </a:solidFill>
              </a:ln>
              <a:effectLst/>
            </c:spPr>
          </c:marker>
          <c:xVal>
            <c:strRef>
              <c:f>Glucose!$N$1:$O$1</c:f>
              <c:strCache>
                <c:ptCount val="2"/>
                <c:pt idx="0">
                  <c:v>Pre</c:v>
                </c:pt>
                <c:pt idx="1">
                  <c:v>Post</c:v>
                </c:pt>
              </c:strCache>
            </c:strRef>
          </c:xVal>
          <c:yVal>
            <c:numRef>
              <c:f>Glucose!$N$21:$O$21</c:f>
              <c:numCache>
                <c:formatCode>General</c:formatCode>
                <c:ptCount val="2"/>
                <c:pt idx="0">
                  <c:v>92</c:v>
                </c:pt>
                <c:pt idx="1">
                  <c:v>101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3-0759-E24C-93A2-ACD0A50F81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13248464"/>
        <c:axId val="515105376"/>
      </c:scatterChart>
      <c:valAx>
        <c:axId val="51324846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5105376"/>
        <c:crosses val="autoZero"/>
        <c:crossBetween val="midCat"/>
      </c:valAx>
      <c:valAx>
        <c:axId val="5151053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324846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179917</xdr:colOff>
      <xdr:row>21</xdr:row>
      <xdr:rowOff>158749</xdr:rowOff>
    </xdr:from>
    <xdr:to>
      <xdr:col>11</xdr:col>
      <xdr:colOff>31749</xdr:colOff>
      <xdr:row>44</xdr:row>
      <xdr:rowOff>190500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98AF7CC1-8C5A-ED47-9215-CC10E6CA53C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222249</xdr:colOff>
      <xdr:row>21</xdr:row>
      <xdr:rowOff>162984</xdr:rowOff>
    </xdr:from>
    <xdr:to>
      <xdr:col>18</xdr:col>
      <xdr:colOff>730250</xdr:colOff>
      <xdr:row>45</xdr:row>
      <xdr:rowOff>10584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F24B60BD-37AE-BB4A-86D4-A106A7AEA1D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ADE5A1-585B-FD49-B956-9E09E8522913}">
  <dimension ref="A1:U81"/>
  <sheetViews>
    <sheetView tabSelected="1" zoomScale="120" zoomScaleNormal="120" workbookViewId="0"/>
  </sheetViews>
  <sheetFormatPr baseColWidth="10" defaultRowHeight="16" x14ac:dyDescent="0.2"/>
  <cols>
    <col min="1" max="4" width="10.83203125" style="7"/>
    <col min="5" max="5" width="10.6640625" style="7" customWidth="1"/>
    <col min="6" max="11" width="10.83203125" style="7"/>
    <col min="13" max="13" width="13.1640625" style="7" bestFit="1" customWidth="1"/>
    <col min="14" max="16384" width="10.83203125" style="7"/>
  </cols>
  <sheetData>
    <row r="1" spans="1:21" x14ac:dyDescent="0.2">
      <c r="A1" s="7" t="s">
        <v>23</v>
      </c>
      <c r="B1" s="7" t="s">
        <v>15</v>
      </c>
      <c r="C1" s="7" t="s">
        <v>16</v>
      </c>
      <c r="D1" s="7" t="s">
        <v>25</v>
      </c>
      <c r="E1" s="7" t="s">
        <v>30</v>
      </c>
      <c r="F1" s="7" t="s">
        <v>52</v>
      </c>
      <c r="G1" s="7" t="s">
        <v>21</v>
      </c>
      <c r="H1" s="7" t="s">
        <v>28</v>
      </c>
      <c r="I1" s="7" t="s">
        <v>22</v>
      </c>
      <c r="J1" s="7" t="s">
        <v>24</v>
      </c>
      <c r="K1" s="7" t="s">
        <v>31</v>
      </c>
      <c r="L1" t="s">
        <v>51</v>
      </c>
      <c r="M1" t="s">
        <v>50</v>
      </c>
      <c r="N1" s="7" t="s">
        <v>17</v>
      </c>
      <c r="O1" s="7" t="s">
        <v>18</v>
      </c>
      <c r="P1" s="8" t="s">
        <v>9</v>
      </c>
      <c r="Q1" s="8" t="s">
        <v>10</v>
      </c>
      <c r="R1" s="8" t="s">
        <v>11</v>
      </c>
      <c r="S1" s="8" t="s">
        <v>12</v>
      </c>
      <c r="T1" s="8" t="s">
        <v>13</v>
      </c>
      <c r="U1" s="8" t="s">
        <v>29</v>
      </c>
    </row>
    <row r="2" spans="1:21" x14ac:dyDescent="0.2">
      <c r="A2" s="7" t="str">
        <f>_xlfn.CONCAT(B2, "_",C2,"_",D2,)</f>
        <v>201_A_pre</v>
      </c>
      <c r="B2" s="7">
        <v>201</v>
      </c>
      <c r="C2" s="7" t="s">
        <v>1</v>
      </c>
      <c r="D2" s="7" t="s">
        <v>19</v>
      </c>
      <c r="E2" s="7" t="s">
        <v>1</v>
      </c>
      <c r="F2" s="7" t="s">
        <v>33</v>
      </c>
      <c r="G2" s="7" t="s">
        <v>26</v>
      </c>
      <c r="H2" s="7">
        <v>20</v>
      </c>
      <c r="I2" s="12">
        <v>62.6</v>
      </c>
      <c r="J2" s="12">
        <v>165.13333333333333</v>
      </c>
      <c r="K2" s="12">
        <v>22.95645575141117</v>
      </c>
      <c r="L2" s="12">
        <v>115</v>
      </c>
      <c r="M2" s="12">
        <v>75.333333333333329</v>
      </c>
      <c r="N2" s="2">
        <v>87</v>
      </c>
      <c r="O2" s="5">
        <v>14</v>
      </c>
      <c r="P2" s="2">
        <v>145</v>
      </c>
      <c r="Q2" s="2">
        <v>52</v>
      </c>
      <c r="R2" s="6">
        <v>84</v>
      </c>
      <c r="S2" s="5">
        <v>2.7884615384615383</v>
      </c>
      <c r="T2" s="2">
        <v>45</v>
      </c>
      <c r="U2" s="2">
        <v>93</v>
      </c>
    </row>
    <row r="3" spans="1:21" x14ac:dyDescent="0.2">
      <c r="A3" s="7" t="str">
        <f t="shared" ref="A3:A66" si="0">_xlfn.CONCAT(B3, "_",C3,"_",D3,)</f>
        <v>201_A_post</v>
      </c>
      <c r="B3" s="7">
        <v>201</v>
      </c>
      <c r="C3" s="7" t="s">
        <v>1</v>
      </c>
      <c r="D3" s="7" t="s">
        <v>20</v>
      </c>
      <c r="E3" s="7" t="s">
        <v>2</v>
      </c>
      <c r="F3" s="7" t="s">
        <v>40</v>
      </c>
      <c r="G3" s="7" t="s">
        <v>26</v>
      </c>
      <c r="H3" s="7">
        <v>20</v>
      </c>
      <c r="I3" s="12">
        <v>59.79999999999999</v>
      </c>
      <c r="J3" s="12">
        <v>165.6</v>
      </c>
      <c r="K3" s="12">
        <v>21.806226516371442</v>
      </c>
      <c r="L3" s="12">
        <v>108.66666666666667</v>
      </c>
      <c r="M3" s="12">
        <v>72.333333333333329</v>
      </c>
      <c r="N3" s="2">
        <v>87</v>
      </c>
      <c r="O3" s="5">
        <v>7.8</v>
      </c>
      <c r="P3" s="2">
        <v>143</v>
      </c>
      <c r="Q3" s="2">
        <v>44</v>
      </c>
      <c r="R3" s="6">
        <v>90.2</v>
      </c>
      <c r="S3" s="5">
        <v>3.25</v>
      </c>
      <c r="T3" s="2">
        <v>44</v>
      </c>
      <c r="U3" s="2">
        <v>99</v>
      </c>
    </row>
    <row r="4" spans="1:21" x14ac:dyDescent="0.2">
      <c r="A4" s="7" t="str">
        <f t="shared" si="0"/>
        <v>201_B_pre</v>
      </c>
      <c r="B4" s="7">
        <v>201</v>
      </c>
      <c r="C4" s="7" t="s">
        <v>2</v>
      </c>
      <c r="D4" s="7" t="s">
        <v>19</v>
      </c>
      <c r="E4" s="7" t="s">
        <v>3</v>
      </c>
      <c r="F4" s="7" t="s">
        <v>44</v>
      </c>
      <c r="G4" s="7" t="s">
        <v>26</v>
      </c>
      <c r="H4" s="7">
        <v>20</v>
      </c>
      <c r="I4" s="12">
        <v>59.79999999999999</v>
      </c>
      <c r="J4" s="12">
        <v>164.3</v>
      </c>
      <c r="K4" s="12">
        <v>22.152668933549027</v>
      </c>
      <c r="L4" s="12">
        <v>104.33333333333333</v>
      </c>
      <c r="M4" s="12">
        <v>72.333333333333329</v>
      </c>
      <c r="N4" s="2">
        <v>81</v>
      </c>
      <c r="O4" s="5">
        <v>11.7</v>
      </c>
      <c r="P4" s="2">
        <v>153</v>
      </c>
      <c r="Q4" s="2">
        <v>48</v>
      </c>
      <c r="R4" s="6">
        <v>78.2</v>
      </c>
      <c r="S4" s="5">
        <v>3.1875</v>
      </c>
      <c r="T4" s="2">
        <v>134</v>
      </c>
      <c r="U4" s="2">
        <v>105</v>
      </c>
    </row>
    <row r="5" spans="1:21" x14ac:dyDescent="0.2">
      <c r="A5" s="7" t="str">
        <f t="shared" si="0"/>
        <v>201_B_post</v>
      </c>
      <c r="B5" s="7">
        <v>201</v>
      </c>
      <c r="C5" s="7" t="s">
        <v>2</v>
      </c>
      <c r="D5" s="7" t="s">
        <v>20</v>
      </c>
      <c r="E5" s="7" t="s">
        <v>4</v>
      </c>
      <c r="F5" s="7" t="s">
        <v>48</v>
      </c>
      <c r="G5" s="7" t="s">
        <v>26</v>
      </c>
      <c r="H5" s="7">
        <v>20</v>
      </c>
      <c r="I5" s="12">
        <v>61.1</v>
      </c>
      <c r="J5" s="12">
        <v>164</v>
      </c>
      <c r="K5" s="12">
        <v>22.717132659131472</v>
      </c>
      <c r="L5" s="12">
        <v>106</v>
      </c>
      <c r="M5" s="12">
        <v>71.666666666666671</v>
      </c>
      <c r="N5" s="2">
        <v>77</v>
      </c>
      <c r="O5" s="5">
        <v>5.3</v>
      </c>
      <c r="P5" s="2">
        <v>142</v>
      </c>
      <c r="Q5" s="2">
        <v>43</v>
      </c>
      <c r="R5" s="6">
        <v>90.2</v>
      </c>
      <c r="S5" s="5">
        <v>3.3023255813953489</v>
      </c>
      <c r="T5" s="2">
        <v>44</v>
      </c>
      <c r="U5" s="2">
        <v>99</v>
      </c>
    </row>
    <row r="6" spans="1:21" x14ac:dyDescent="0.2">
      <c r="A6" s="7" t="str">
        <f t="shared" si="0"/>
        <v>202_A_pre</v>
      </c>
      <c r="B6" s="7">
        <v>202</v>
      </c>
      <c r="C6" s="7" t="s">
        <v>1</v>
      </c>
      <c r="D6" s="7" t="s">
        <v>19</v>
      </c>
      <c r="E6" s="7" t="s">
        <v>1</v>
      </c>
      <c r="F6" s="7" t="s">
        <v>33</v>
      </c>
      <c r="G6" s="7" t="s">
        <v>27</v>
      </c>
      <c r="H6" s="7">
        <v>27</v>
      </c>
      <c r="I6" s="12">
        <v>85.866666666666674</v>
      </c>
      <c r="J6" s="12">
        <v>177.1</v>
      </c>
      <c r="K6" s="12">
        <v>27.377102475916711</v>
      </c>
      <c r="L6" s="12">
        <v>96.666666666666671</v>
      </c>
      <c r="M6" s="12">
        <v>60.333333333333336</v>
      </c>
      <c r="N6" s="2">
        <v>84</v>
      </c>
      <c r="O6" s="5">
        <v>3.9</v>
      </c>
      <c r="P6" s="2">
        <v>167</v>
      </c>
      <c r="Q6" s="2">
        <v>44</v>
      </c>
      <c r="R6" s="6">
        <v>112.4</v>
      </c>
      <c r="S6" s="5">
        <v>3.7954545454545454</v>
      </c>
      <c r="T6" s="2">
        <v>53</v>
      </c>
      <c r="U6" s="2">
        <v>123</v>
      </c>
    </row>
    <row r="7" spans="1:21" x14ac:dyDescent="0.2">
      <c r="A7" s="7" t="str">
        <f t="shared" si="0"/>
        <v>202_A_post</v>
      </c>
      <c r="B7" s="7">
        <v>202</v>
      </c>
      <c r="C7" s="7" t="s">
        <v>1</v>
      </c>
      <c r="D7" s="7" t="s">
        <v>20</v>
      </c>
      <c r="E7" s="7" t="s">
        <v>2</v>
      </c>
      <c r="F7" s="7" t="s">
        <v>40</v>
      </c>
      <c r="G7" s="7" t="s">
        <v>27</v>
      </c>
      <c r="H7" s="7">
        <v>27</v>
      </c>
      <c r="I7" s="12">
        <v>87.59999999999998</v>
      </c>
      <c r="J7" s="12">
        <v>176.5</v>
      </c>
      <c r="K7" s="12">
        <v>28.119959232479193</v>
      </c>
      <c r="L7" s="12">
        <v>96.666666666666671</v>
      </c>
      <c r="M7" s="12">
        <v>59.666666666666664</v>
      </c>
      <c r="N7" s="2">
        <v>80</v>
      </c>
      <c r="O7" s="5">
        <v>5.4</v>
      </c>
      <c r="P7" s="2">
        <v>174</v>
      </c>
      <c r="Q7" s="2">
        <v>46</v>
      </c>
      <c r="R7" s="6">
        <v>118.4</v>
      </c>
      <c r="S7" s="5">
        <v>3.7826086956521738</v>
      </c>
      <c r="T7" s="2">
        <v>48</v>
      </c>
      <c r="U7" s="2">
        <v>128</v>
      </c>
    </row>
    <row r="8" spans="1:21" x14ac:dyDescent="0.2">
      <c r="A8" s="7" t="str">
        <f t="shared" si="0"/>
        <v>202_B_pre</v>
      </c>
      <c r="B8" s="7">
        <v>202</v>
      </c>
      <c r="C8" s="7" t="s">
        <v>2</v>
      </c>
      <c r="D8" s="7" t="s">
        <v>19</v>
      </c>
      <c r="E8" s="7" t="s">
        <v>3</v>
      </c>
      <c r="F8" s="7" t="s">
        <v>44</v>
      </c>
      <c r="G8" s="7" t="s">
        <v>27</v>
      </c>
      <c r="H8" s="7">
        <v>27</v>
      </c>
      <c r="I8" s="12">
        <v>87.90000000000002</v>
      </c>
      <c r="J8" s="12">
        <v>177.2</v>
      </c>
      <c r="K8" s="12">
        <v>27.993773216678825</v>
      </c>
      <c r="L8" s="12">
        <v>102.66666666666667</v>
      </c>
      <c r="M8" s="12">
        <v>65.333333333333329</v>
      </c>
      <c r="N8" s="2">
        <v>91</v>
      </c>
      <c r="O8" s="5">
        <v>5.8</v>
      </c>
      <c r="P8" s="2">
        <v>178</v>
      </c>
      <c r="Q8" s="2">
        <v>46</v>
      </c>
      <c r="R8" s="6">
        <v>120.4</v>
      </c>
      <c r="S8" s="5">
        <v>3.8695652173913042</v>
      </c>
      <c r="T8" s="2">
        <v>58</v>
      </c>
      <c r="U8" s="2">
        <v>132</v>
      </c>
    </row>
    <row r="9" spans="1:21" x14ac:dyDescent="0.2">
      <c r="A9" s="7" t="str">
        <f t="shared" si="0"/>
        <v>202_B_post</v>
      </c>
      <c r="B9" s="7">
        <v>202</v>
      </c>
      <c r="C9" s="7" t="s">
        <v>2</v>
      </c>
      <c r="D9" s="7" t="s">
        <v>20</v>
      </c>
      <c r="E9" s="7" t="s">
        <v>4</v>
      </c>
      <c r="F9" s="7" t="s">
        <v>48</v>
      </c>
      <c r="G9" s="7" t="s">
        <v>27</v>
      </c>
      <c r="H9" s="7">
        <v>27</v>
      </c>
      <c r="I9" s="12">
        <v>86.59999999999998</v>
      </c>
      <c r="J9" s="12">
        <v>177.5</v>
      </c>
      <c r="K9" s="12">
        <v>27.486609799642924</v>
      </c>
      <c r="L9" s="12">
        <v>97.666666666666671</v>
      </c>
      <c r="M9" s="12">
        <v>61.666666666666664</v>
      </c>
      <c r="N9" s="2">
        <v>87</v>
      </c>
      <c r="O9" s="5">
        <v>6.2</v>
      </c>
      <c r="P9" s="2">
        <v>179</v>
      </c>
      <c r="Q9" s="2">
        <v>46</v>
      </c>
      <c r="R9" s="6">
        <v>117.4</v>
      </c>
      <c r="S9" s="5">
        <v>3.8913043478260869</v>
      </c>
      <c r="T9" s="2">
        <v>78</v>
      </c>
      <c r="U9" s="2">
        <v>133</v>
      </c>
    </row>
    <row r="10" spans="1:21" x14ac:dyDescent="0.2">
      <c r="A10" s="7" t="str">
        <f t="shared" si="0"/>
        <v>203_A_pre</v>
      </c>
      <c r="B10" s="7">
        <v>203</v>
      </c>
      <c r="C10" s="7" t="s">
        <v>1</v>
      </c>
      <c r="D10" s="7" t="s">
        <v>19</v>
      </c>
      <c r="E10" s="7" t="s">
        <v>1</v>
      </c>
      <c r="F10" s="7" t="s">
        <v>33</v>
      </c>
      <c r="G10" s="7" t="s">
        <v>26</v>
      </c>
      <c r="H10" s="7">
        <v>26</v>
      </c>
      <c r="I10" s="12">
        <v>56</v>
      </c>
      <c r="J10" s="12">
        <v>160</v>
      </c>
      <c r="K10" s="12">
        <v>21.874999999999996</v>
      </c>
      <c r="L10" s="12">
        <v>113.66666666666667</v>
      </c>
      <c r="M10" s="12">
        <v>71</v>
      </c>
      <c r="N10" s="2">
        <v>83</v>
      </c>
      <c r="O10" s="5">
        <v>6.2</v>
      </c>
      <c r="P10" s="2">
        <v>191</v>
      </c>
      <c r="Q10" s="2">
        <v>67</v>
      </c>
      <c r="R10" s="6">
        <v>112.6</v>
      </c>
      <c r="S10" s="5">
        <v>2.8507462686567164</v>
      </c>
      <c r="T10" s="2">
        <v>57</v>
      </c>
      <c r="U10" s="2">
        <v>124</v>
      </c>
    </row>
    <row r="11" spans="1:21" x14ac:dyDescent="0.2">
      <c r="A11" s="7" t="str">
        <f t="shared" si="0"/>
        <v>203_A_post</v>
      </c>
      <c r="B11" s="7">
        <v>203</v>
      </c>
      <c r="C11" s="7" t="s">
        <v>1</v>
      </c>
      <c r="D11" s="7" t="s">
        <v>20</v>
      </c>
      <c r="E11" s="7" t="s">
        <v>2</v>
      </c>
      <c r="F11" s="7" t="s">
        <v>40</v>
      </c>
      <c r="G11" s="7" t="s">
        <v>26</v>
      </c>
      <c r="H11" s="7">
        <v>26</v>
      </c>
      <c r="I11" s="12">
        <v>55.366666666666667</v>
      </c>
      <c r="J11" s="12">
        <v>157.9</v>
      </c>
      <c r="K11" s="12">
        <v>22.206704713530169</v>
      </c>
      <c r="L11" s="12">
        <v>106.66666666666667</v>
      </c>
      <c r="M11" s="12">
        <v>70</v>
      </c>
      <c r="N11" s="2">
        <v>83</v>
      </c>
      <c r="O11" s="5">
        <v>4.5</v>
      </c>
      <c r="P11" s="2">
        <v>193</v>
      </c>
      <c r="Q11" s="2">
        <v>72</v>
      </c>
      <c r="R11" s="6">
        <v>111</v>
      </c>
      <c r="S11" s="5">
        <v>2.6805555555555554</v>
      </c>
      <c r="T11" s="2">
        <v>50</v>
      </c>
      <c r="U11" s="2">
        <v>121</v>
      </c>
    </row>
    <row r="12" spans="1:21" x14ac:dyDescent="0.2">
      <c r="A12" s="7" t="str">
        <f t="shared" si="0"/>
        <v>203_B_pre</v>
      </c>
      <c r="B12" s="7">
        <v>203</v>
      </c>
      <c r="C12" s="7" t="s">
        <v>2</v>
      </c>
      <c r="D12" s="7" t="s">
        <v>19</v>
      </c>
      <c r="E12" s="7" t="s">
        <v>3</v>
      </c>
      <c r="F12" s="7" t="s">
        <v>44</v>
      </c>
      <c r="G12" s="7" t="s">
        <v>26</v>
      </c>
      <c r="H12" s="7">
        <v>26</v>
      </c>
      <c r="I12" s="12">
        <v>55.6</v>
      </c>
      <c r="J12" s="12">
        <v>158.9</v>
      </c>
      <c r="K12" s="12">
        <v>22.020490938132323</v>
      </c>
      <c r="L12" s="12">
        <v>105</v>
      </c>
      <c r="M12" s="12">
        <v>70.333333333333329</v>
      </c>
      <c r="N12" s="2">
        <v>77</v>
      </c>
      <c r="O12" s="5">
        <v>4.4000000000000004</v>
      </c>
      <c r="P12" s="2">
        <v>184</v>
      </c>
      <c r="Q12" s="2">
        <v>71</v>
      </c>
      <c r="R12" s="6">
        <v>105.8</v>
      </c>
      <c r="S12" s="5">
        <v>2.591549295774648</v>
      </c>
      <c r="T12" s="2">
        <v>36</v>
      </c>
      <c r="U12" s="2">
        <v>113</v>
      </c>
    </row>
    <row r="13" spans="1:21" x14ac:dyDescent="0.2">
      <c r="A13" s="7" t="str">
        <f t="shared" si="0"/>
        <v>203_B_post</v>
      </c>
      <c r="B13" s="7">
        <v>203</v>
      </c>
      <c r="C13" s="7" t="s">
        <v>2</v>
      </c>
      <c r="D13" s="7" t="s">
        <v>20</v>
      </c>
      <c r="E13" s="7" t="s">
        <v>4</v>
      </c>
      <c r="F13" s="7" t="s">
        <v>48</v>
      </c>
      <c r="G13" s="7" t="s">
        <v>26</v>
      </c>
      <c r="H13" s="7">
        <v>26</v>
      </c>
      <c r="I13" s="12">
        <v>53.6</v>
      </c>
      <c r="J13" s="12">
        <v>159.1</v>
      </c>
      <c r="K13" s="12">
        <v>21.175049312976316</v>
      </c>
      <c r="L13" s="12">
        <v>105.66666666666667</v>
      </c>
      <c r="M13" s="12">
        <v>71</v>
      </c>
      <c r="N13" s="2">
        <v>83</v>
      </c>
      <c r="O13" s="5">
        <v>5.0999999999999996</v>
      </c>
      <c r="P13" s="2">
        <v>158</v>
      </c>
      <c r="Q13" s="2">
        <v>71</v>
      </c>
      <c r="R13" s="6">
        <v>80.2</v>
      </c>
      <c r="S13" s="5">
        <v>2.2253521126760565</v>
      </c>
      <c r="T13" s="2">
        <v>34</v>
      </c>
      <c r="U13" s="2">
        <v>87</v>
      </c>
    </row>
    <row r="14" spans="1:21" x14ac:dyDescent="0.2">
      <c r="A14" s="7" t="str">
        <f t="shared" si="0"/>
        <v>204_B_pre</v>
      </c>
      <c r="B14" s="7">
        <v>204</v>
      </c>
      <c r="C14" s="7" t="s">
        <v>2</v>
      </c>
      <c r="D14" s="7" t="s">
        <v>19</v>
      </c>
      <c r="E14" s="7" t="s">
        <v>1</v>
      </c>
      <c r="F14" s="7" t="s">
        <v>33</v>
      </c>
      <c r="G14" s="7" t="s">
        <v>27</v>
      </c>
      <c r="H14" s="7">
        <v>24</v>
      </c>
      <c r="I14" s="12">
        <v>77.783333333333346</v>
      </c>
      <c r="J14" s="12">
        <v>170.6</v>
      </c>
      <c r="K14" s="12">
        <v>26.725663554647259</v>
      </c>
      <c r="L14" s="12">
        <v>113.66666666666667</v>
      </c>
      <c r="M14" s="12">
        <v>73.333333333333329</v>
      </c>
      <c r="N14" s="2">
        <v>79</v>
      </c>
      <c r="O14" s="5">
        <v>3.1</v>
      </c>
      <c r="P14" s="2">
        <v>128</v>
      </c>
      <c r="Q14" s="2">
        <v>53</v>
      </c>
      <c r="R14" s="6">
        <v>64.8</v>
      </c>
      <c r="S14" s="5">
        <v>2.4150943396226414</v>
      </c>
      <c r="T14" s="2">
        <v>51</v>
      </c>
      <c r="U14" s="2">
        <v>75</v>
      </c>
    </row>
    <row r="15" spans="1:21" x14ac:dyDescent="0.2">
      <c r="A15" s="7" t="str">
        <f t="shared" si="0"/>
        <v>204_B_post</v>
      </c>
      <c r="B15" s="7">
        <v>204</v>
      </c>
      <c r="C15" s="7" t="s">
        <v>2</v>
      </c>
      <c r="D15" s="7" t="s">
        <v>20</v>
      </c>
      <c r="E15" s="7" t="s">
        <v>2</v>
      </c>
      <c r="F15" s="7" t="s">
        <v>40</v>
      </c>
      <c r="G15" s="7" t="s">
        <v>27</v>
      </c>
      <c r="H15" s="7">
        <v>24</v>
      </c>
      <c r="I15" s="12">
        <v>78.166666666666671</v>
      </c>
      <c r="J15" s="12">
        <v>171.1</v>
      </c>
      <c r="K15" s="12">
        <v>26.700633972110424</v>
      </c>
      <c r="L15" s="12">
        <v>105</v>
      </c>
      <c r="M15" s="12">
        <v>72.333333333333329</v>
      </c>
      <c r="N15" s="2">
        <v>88</v>
      </c>
      <c r="O15" s="5">
        <v>4.2</v>
      </c>
      <c r="P15" s="2">
        <v>148</v>
      </c>
      <c r="Q15" s="2">
        <v>62</v>
      </c>
      <c r="R15" s="6">
        <v>73.400000000000006</v>
      </c>
      <c r="S15" s="5">
        <v>2.3870967741935485</v>
      </c>
      <c r="T15" s="2">
        <v>63</v>
      </c>
      <c r="U15" s="2">
        <v>86</v>
      </c>
    </row>
    <row r="16" spans="1:21" x14ac:dyDescent="0.2">
      <c r="A16" s="7" t="str">
        <f t="shared" si="0"/>
        <v>204_A_pre</v>
      </c>
      <c r="B16" s="7">
        <v>204</v>
      </c>
      <c r="C16" s="7" t="s">
        <v>1</v>
      </c>
      <c r="D16" s="7" t="s">
        <v>19</v>
      </c>
      <c r="E16" s="7" t="s">
        <v>3</v>
      </c>
      <c r="F16" s="7" t="s">
        <v>44</v>
      </c>
      <c r="G16" s="7" t="s">
        <v>27</v>
      </c>
      <c r="H16" s="7">
        <v>24</v>
      </c>
      <c r="I16" s="12">
        <v>77.900000000000006</v>
      </c>
      <c r="J16" s="12">
        <v>171.19999999999996</v>
      </c>
      <c r="K16" s="12">
        <v>26.57846755175126</v>
      </c>
      <c r="L16" s="12">
        <v>108</v>
      </c>
      <c r="M16" s="12">
        <v>71.666666666666671</v>
      </c>
      <c r="N16" s="2">
        <v>89</v>
      </c>
      <c r="O16" s="5">
        <v>5.3</v>
      </c>
      <c r="P16" s="2">
        <v>138</v>
      </c>
      <c r="Q16" s="2">
        <v>54</v>
      </c>
      <c r="R16" s="6">
        <v>59.8</v>
      </c>
      <c r="S16" s="5">
        <v>2.5555555555555554</v>
      </c>
      <c r="T16" s="2">
        <v>121</v>
      </c>
      <c r="U16" s="2">
        <v>84</v>
      </c>
    </row>
    <row r="17" spans="1:21" x14ac:dyDescent="0.2">
      <c r="A17" s="7" t="str">
        <f t="shared" si="0"/>
        <v>204_A_post</v>
      </c>
      <c r="B17" s="7">
        <v>204</v>
      </c>
      <c r="C17" s="7" t="s">
        <v>1</v>
      </c>
      <c r="D17" s="7" t="s">
        <v>20</v>
      </c>
      <c r="E17" s="7" t="s">
        <v>4</v>
      </c>
      <c r="F17" s="7" t="s">
        <v>48</v>
      </c>
      <c r="G17" s="7" t="s">
        <v>27</v>
      </c>
      <c r="H17" s="7">
        <v>24</v>
      </c>
      <c r="I17" s="12">
        <v>77.900000000000006</v>
      </c>
      <c r="J17" s="12">
        <v>171.03333333333333</v>
      </c>
      <c r="K17" s="12">
        <v>26.630292571234705</v>
      </c>
      <c r="L17" s="12">
        <v>117.66666666666667</v>
      </c>
      <c r="M17" s="12">
        <v>78</v>
      </c>
      <c r="N17" s="2">
        <v>87</v>
      </c>
      <c r="O17" s="5">
        <v>4</v>
      </c>
      <c r="P17" s="2">
        <v>126</v>
      </c>
      <c r="Q17" s="2">
        <v>57</v>
      </c>
      <c r="R17" s="6">
        <v>56.4</v>
      </c>
      <c r="S17" s="5">
        <v>2.2105263157894739</v>
      </c>
      <c r="T17" s="2">
        <v>63</v>
      </c>
      <c r="U17" s="2">
        <v>69</v>
      </c>
    </row>
    <row r="18" spans="1:21" x14ac:dyDescent="0.2">
      <c r="A18" s="7" t="str">
        <f t="shared" si="0"/>
        <v>205_A_pre</v>
      </c>
      <c r="B18" s="7">
        <v>205</v>
      </c>
      <c r="C18" s="7" t="s">
        <v>1</v>
      </c>
      <c r="D18" s="7" t="s">
        <v>19</v>
      </c>
      <c r="E18" s="7" t="s">
        <v>1</v>
      </c>
      <c r="F18" s="7" t="s">
        <v>33</v>
      </c>
      <c r="G18" s="7" t="s">
        <v>27</v>
      </c>
      <c r="H18" s="7">
        <v>22</v>
      </c>
      <c r="I18" s="12">
        <v>73.86666666666666</v>
      </c>
      <c r="J18" s="12">
        <v>173.7</v>
      </c>
      <c r="K18" s="12">
        <v>24.482111100394665</v>
      </c>
      <c r="L18" s="12">
        <v>120.66666666666667</v>
      </c>
      <c r="M18" s="12">
        <v>80</v>
      </c>
      <c r="N18" s="2">
        <v>79</v>
      </c>
      <c r="O18" s="5">
        <v>4.5</v>
      </c>
      <c r="P18" s="2">
        <v>141</v>
      </c>
      <c r="Q18" s="2">
        <v>39</v>
      </c>
      <c r="R18" s="6">
        <v>90.2</v>
      </c>
      <c r="S18" s="5">
        <v>3.6153846153846154</v>
      </c>
      <c r="T18" s="2">
        <v>59</v>
      </c>
      <c r="U18" s="2">
        <v>102</v>
      </c>
    </row>
    <row r="19" spans="1:21" x14ac:dyDescent="0.2">
      <c r="A19" s="7" t="str">
        <f t="shared" si="0"/>
        <v>205_A_post</v>
      </c>
      <c r="B19" s="7">
        <v>205</v>
      </c>
      <c r="C19" s="7" t="s">
        <v>1</v>
      </c>
      <c r="D19" s="7" t="s">
        <v>20</v>
      </c>
      <c r="E19" s="7" t="s">
        <v>2</v>
      </c>
      <c r="F19" s="7" t="s">
        <v>40</v>
      </c>
      <c r="G19" s="7" t="s">
        <v>27</v>
      </c>
      <c r="H19" s="7">
        <v>22</v>
      </c>
      <c r="I19" s="12">
        <v>73.8</v>
      </c>
      <c r="J19" s="12">
        <v>173.8</v>
      </c>
      <c r="K19" s="12">
        <v>24.431876116483764</v>
      </c>
      <c r="L19" s="12">
        <v>115.33333333333333</v>
      </c>
      <c r="M19" s="12">
        <v>78.333333333333329</v>
      </c>
      <c r="N19" s="2">
        <v>77</v>
      </c>
      <c r="O19" s="5">
        <v>3.9</v>
      </c>
      <c r="P19" s="2">
        <v>154</v>
      </c>
      <c r="Q19" s="2">
        <v>39</v>
      </c>
      <c r="R19" s="6">
        <v>96.6</v>
      </c>
      <c r="S19" s="5">
        <v>3.9487179487179489</v>
      </c>
      <c r="T19" s="2">
        <v>92</v>
      </c>
      <c r="U19" s="2">
        <v>115</v>
      </c>
    </row>
    <row r="20" spans="1:21" x14ac:dyDescent="0.2">
      <c r="A20" s="7" t="str">
        <f t="shared" si="0"/>
        <v>205_B_pre</v>
      </c>
      <c r="B20" s="7">
        <v>205</v>
      </c>
      <c r="C20" s="7" t="s">
        <v>2</v>
      </c>
      <c r="D20" s="7" t="s">
        <v>19</v>
      </c>
      <c r="E20" s="7" t="s">
        <v>3</v>
      </c>
      <c r="F20" s="7" t="s">
        <v>44</v>
      </c>
      <c r="G20" s="7" t="s">
        <v>27</v>
      </c>
      <c r="H20" s="7">
        <v>22</v>
      </c>
      <c r="I20" s="12">
        <v>72.333333333333329</v>
      </c>
      <c r="J20" s="12">
        <v>173.4</v>
      </c>
      <c r="K20" s="12">
        <v>24.056934893730432</v>
      </c>
      <c r="L20" s="12">
        <v>116</v>
      </c>
      <c r="M20" s="12">
        <v>76</v>
      </c>
      <c r="N20" s="2">
        <v>84</v>
      </c>
      <c r="O20" s="5">
        <v>8.8000000000000007</v>
      </c>
      <c r="P20" s="2">
        <v>150</v>
      </c>
      <c r="Q20" s="2">
        <v>33</v>
      </c>
      <c r="R20" s="6">
        <v>92.8</v>
      </c>
      <c r="S20" s="5">
        <v>4.5454545454545459</v>
      </c>
      <c r="T20" s="2">
        <v>121</v>
      </c>
      <c r="U20" s="2">
        <v>117</v>
      </c>
    </row>
    <row r="21" spans="1:21" x14ac:dyDescent="0.2">
      <c r="A21" s="7" t="str">
        <f t="shared" si="0"/>
        <v>205_B_post</v>
      </c>
      <c r="B21" s="7">
        <v>205</v>
      </c>
      <c r="C21" s="7" t="s">
        <v>2</v>
      </c>
      <c r="D21" s="7" t="s">
        <v>20</v>
      </c>
      <c r="E21" s="7" t="s">
        <v>4</v>
      </c>
      <c r="F21" s="7" t="s">
        <v>48</v>
      </c>
      <c r="G21" s="7" t="s">
        <v>27</v>
      </c>
      <c r="H21" s="7">
        <v>22</v>
      </c>
      <c r="I21" s="12">
        <v>72.7</v>
      </c>
      <c r="J21" s="12">
        <v>173.7</v>
      </c>
      <c r="K21" s="12">
        <v>24.095435157924534</v>
      </c>
      <c r="L21" s="12">
        <v>115.66666666666667</v>
      </c>
      <c r="M21" s="12">
        <v>75.333333333333329</v>
      </c>
      <c r="N21" s="2">
        <v>82</v>
      </c>
      <c r="O21" s="5">
        <v>5.8</v>
      </c>
      <c r="P21" s="2">
        <v>156</v>
      </c>
      <c r="Q21" s="2">
        <v>35</v>
      </c>
      <c r="R21" s="6">
        <v>96.6</v>
      </c>
      <c r="S21" s="5">
        <v>4.4571428571428573</v>
      </c>
      <c r="T21" s="2">
        <v>122</v>
      </c>
      <c r="U21" s="2">
        <v>121</v>
      </c>
    </row>
    <row r="22" spans="1:21" x14ac:dyDescent="0.2">
      <c r="A22" s="7" t="str">
        <f t="shared" si="0"/>
        <v>206_B_pre</v>
      </c>
      <c r="B22" s="7">
        <v>206</v>
      </c>
      <c r="C22" s="7" t="s">
        <v>2</v>
      </c>
      <c r="D22" s="7" t="s">
        <v>19</v>
      </c>
      <c r="E22" s="7" t="s">
        <v>1</v>
      </c>
      <c r="F22" s="7" t="s">
        <v>33</v>
      </c>
      <c r="G22" s="7" t="s">
        <v>27</v>
      </c>
      <c r="H22" s="7">
        <v>23</v>
      </c>
      <c r="I22" s="12">
        <v>77.8</v>
      </c>
      <c r="J22" s="12">
        <v>180</v>
      </c>
      <c r="K22" s="12">
        <v>24.012345679012345</v>
      </c>
      <c r="L22" s="12">
        <v>124</v>
      </c>
      <c r="M22" s="12">
        <v>70.666666666666671</v>
      </c>
      <c r="N22" s="2">
        <v>81</v>
      </c>
      <c r="O22" s="5">
        <v>4.5</v>
      </c>
      <c r="P22" s="2">
        <v>194</v>
      </c>
      <c r="Q22" s="2">
        <v>44</v>
      </c>
      <c r="R22" s="6">
        <v>136.4</v>
      </c>
      <c r="S22" s="5">
        <v>4.4090909090909092</v>
      </c>
      <c r="T22" s="2">
        <v>68</v>
      </c>
      <c r="U22" s="2">
        <v>150</v>
      </c>
    </row>
    <row r="23" spans="1:21" x14ac:dyDescent="0.2">
      <c r="A23" s="7" t="str">
        <f t="shared" si="0"/>
        <v>206_B_post</v>
      </c>
      <c r="B23" s="7">
        <v>206</v>
      </c>
      <c r="C23" s="7" t="s">
        <v>2</v>
      </c>
      <c r="D23" s="7" t="s">
        <v>20</v>
      </c>
      <c r="E23" s="7" t="s">
        <v>2</v>
      </c>
      <c r="F23" s="7" t="s">
        <v>40</v>
      </c>
      <c r="G23" s="7" t="s">
        <v>27</v>
      </c>
      <c r="H23" s="7">
        <v>23</v>
      </c>
      <c r="I23" s="12">
        <v>76</v>
      </c>
      <c r="J23" s="12">
        <v>179.76666666666665</v>
      </c>
      <c r="K23" s="12">
        <v>23.517722477740598</v>
      </c>
      <c r="L23" s="12">
        <v>128.33333333333334</v>
      </c>
      <c r="M23" s="12">
        <v>75.333333333333329</v>
      </c>
      <c r="N23" s="2">
        <v>81</v>
      </c>
      <c r="O23" s="5">
        <v>3.1</v>
      </c>
      <c r="P23" s="2">
        <v>196</v>
      </c>
      <c r="Q23" s="2">
        <v>47</v>
      </c>
      <c r="R23" s="6">
        <v>137.6</v>
      </c>
      <c r="S23" s="5">
        <v>4.1702127659574471</v>
      </c>
      <c r="T23" s="2">
        <v>57</v>
      </c>
      <c r="U23" s="2">
        <v>149</v>
      </c>
    </row>
    <row r="24" spans="1:21" x14ac:dyDescent="0.2">
      <c r="A24" s="7" t="str">
        <f t="shared" si="0"/>
        <v>206_A_pre</v>
      </c>
      <c r="B24" s="7">
        <v>206</v>
      </c>
      <c r="C24" s="7" t="s">
        <v>1</v>
      </c>
      <c r="D24" s="7" t="s">
        <v>19</v>
      </c>
      <c r="E24" s="7" t="s">
        <v>3</v>
      </c>
      <c r="F24" s="7" t="s">
        <v>44</v>
      </c>
      <c r="G24" s="7" t="s">
        <v>27</v>
      </c>
      <c r="H24" s="7">
        <v>23</v>
      </c>
      <c r="I24" s="12">
        <v>75.033333333333331</v>
      </c>
      <c r="J24" s="12">
        <v>179.46666666666667</v>
      </c>
      <c r="K24" s="12">
        <v>23.296283744251305</v>
      </c>
      <c r="L24" s="12">
        <v>117.66666666666667</v>
      </c>
      <c r="M24" s="12">
        <v>73.666666666666671</v>
      </c>
      <c r="N24" s="2">
        <v>83</v>
      </c>
      <c r="O24" s="5">
        <v>2.5</v>
      </c>
      <c r="P24" s="2">
        <v>227</v>
      </c>
      <c r="Q24" s="2">
        <v>55</v>
      </c>
      <c r="R24" s="6">
        <v>156.4</v>
      </c>
      <c r="S24" s="5">
        <v>4.127272727272727</v>
      </c>
      <c r="T24" s="2">
        <v>78</v>
      </c>
      <c r="U24" s="2">
        <v>172</v>
      </c>
    </row>
    <row r="25" spans="1:21" x14ac:dyDescent="0.2">
      <c r="A25" s="7" t="str">
        <f t="shared" si="0"/>
        <v>206_A_post</v>
      </c>
      <c r="B25" s="7">
        <v>206</v>
      </c>
      <c r="C25" s="7" t="s">
        <v>1</v>
      </c>
      <c r="D25" s="7" t="s">
        <v>20</v>
      </c>
      <c r="E25" s="7" t="s">
        <v>4</v>
      </c>
      <c r="F25" s="7" t="s">
        <v>48</v>
      </c>
      <c r="G25" s="7" t="s">
        <v>27</v>
      </c>
      <c r="H25" s="7">
        <v>23</v>
      </c>
      <c r="I25" s="12">
        <v>75.13333333333334</v>
      </c>
      <c r="J25" s="12">
        <v>179.7</v>
      </c>
      <c r="K25" s="12">
        <v>23.266791754059074</v>
      </c>
      <c r="L25" s="12">
        <v>120</v>
      </c>
      <c r="M25" s="12">
        <v>72.333333333333329</v>
      </c>
      <c r="N25" s="2">
        <v>101</v>
      </c>
      <c r="O25" s="5">
        <v>7</v>
      </c>
      <c r="P25" s="2">
        <v>196</v>
      </c>
      <c r="Q25" s="2">
        <v>47</v>
      </c>
      <c r="R25" s="6">
        <v>128.4</v>
      </c>
      <c r="S25" s="5">
        <v>4.1702127659574471</v>
      </c>
      <c r="T25" s="2">
        <v>103</v>
      </c>
      <c r="U25" s="2">
        <v>149</v>
      </c>
    </row>
    <row r="26" spans="1:21" x14ac:dyDescent="0.2">
      <c r="A26" s="7" t="str">
        <f t="shared" si="0"/>
        <v>208_B_pre</v>
      </c>
      <c r="B26" s="7">
        <v>208</v>
      </c>
      <c r="C26" s="7" t="s">
        <v>2</v>
      </c>
      <c r="D26" s="7" t="s">
        <v>19</v>
      </c>
      <c r="E26" s="7" t="s">
        <v>1</v>
      </c>
      <c r="F26" s="7" t="s">
        <v>33</v>
      </c>
      <c r="G26" s="7" t="s">
        <v>27</v>
      </c>
      <c r="H26" s="7">
        <v>32</v>
      </c>
      <c r="I26" s="12">
        <v>88.433333333333337</v>
      </c>
      <c r="J26" s="12">
        <v>170.9</v>
      </c>
      <c r="K26" s="12">
        <v>30.27832664140087</v>
      </c>
      <c r="L26" s="12">
        <v>120</v>
      </c>
      <c r="M26" s="12">
        <v>74.666666666666671</v>
      </c>
      <c r="N26" s="2">
        <v>70</v>
      </c>
      <c r="O26" s="5">
        <v>2.2999999999999998</v>
      </c>
      <c r="P26" s="2">
        <v>147</v>
      </c>
      <c r="Q26" s="2">
        <v>60</v>
      </c>
      <c r="R26" s="6">
        <v>82.2</v>
      </c>
      <c r="S26" s="5">
        <v>2.4500000000000002</v>
      </c>
      <c r="T26" s="2">
        <v>24</v>
      </c>
      <c r="U26" s="2">
        <v>87</v>
      </c>
    </row>
    <row r="27" spans="1:21" x14ac:dyDescent="0.2">
      <c r="A27" s="7" t="str">
        <f t="shared" si="0"/>
        <v>208_B_post</v>
      </c>
      <c r="B27" s="7">
        <v>208</v>
      </c>
      <c r="C27" s="7" t="s">
        <v>2</v>
      </c>
      <c r="D27" s="7" t="s">
        <v>20</v>
      </c>
      <c r="E27" s="7" t="s">
        <v>2</v>
      </c>
      <c r="F27" s="7" t="s">
        <v>40</v>
      </c>
      <c r="G27" s="7" t="s">
        <v>27</v>
      </c>
      <c r="H27" s="7">
        <v>32</v>
      </c>
      <c r="I27" s="12">
        <v>87.533333333333346</v>
      </c>
      <c r="J27" s="12">
        <v>170.6</v>
      </c>
      <c r="K27" s="12">
        <v>30.075677092137862</v>
      </c>
      <c r="L27" s="12">
        <v>110.33333333333333</v>
      </c>
      <c r="M27" s="12">
        <v>69.666666666666671</v>
      </c>
      <c r="N27" s="2">
        <v>75</v>
      </c>
      <c r="O27" s="5">
        <v>2.2999999999999998</v>
      </c>
      <c r="P27" s="2">
        <v>166</v>
      </c>
      <c r="Q27" s="2">
        <v>57</v>
      </c>
      <c r="R27" s="6">
        <v>102.4</v>
      </c>
      <c r="S27" s="5">
        <v>2.9122807017543861</v>
      </c>
      <c r="T27" s="2">
        <v>33</v>
      </c>
      <c r="U27" s="2">
        <v>109</v>
      </c>
    </row>
    <row r="28" spans="1:21" x14ac:dyDescent="0.2">
      <c r="A28" s="7" t="str">
        <f t="shared" si="0"/>
        <v>208_A_pre</v>
      </c>
      <c r="B28" s="7">
        <v>208</v>
      </c>
      <c r="C28" s="7" t="s">
        <v>1</v>
      </c>
      <c r="D28" s="7" t="s">
        <v>19</v>
      </c>
      <c r="E28" s="7" t="s">
        <v>3</v>
      </c>
      <c r="F28" s="7" t="s">
        <v>44</v>
      </c>
      <c r="G28" s="7" t="s">
        <v>27</v>
      </c>
      <c r="H28" s="7">
        <v>32</v>
      </c>
      <c r="I28" s="12">
        <v>88.2</v>
      </c>
      <c r="J28" s="12">
        <v>171</v>
      </c>
      <c r="K28" s="12">
        <v>30.163127116035707</v>
      </c>
      <c r="L28" s="12">
        <v>114.66666666666667</v>
      </c>
      <c r="M28" s="12">
        <v>72</v>
      </c>
      <c r="N28" s="2">
        <v>86</v>
      </c>
      <c r="O28" s="5">
        <v>4.5999999999999996</v>
      </c>
      <c r="P28" s="2">
        <v>163</v>
      </c>
      <c r="Q28" s="2">
        <v>57</v>
      </c>
      <c r="R28" s="6">
        <v>96.4</v>
      </c>
      <c r="S28" s="5">
        <v>2.8596491228070176</v>
      </c>
      <c r="T28" s="2">
        <v>48</v>
      </c>
      <c r="U28" s="2">
        <v>106</v>
      </c>
    </row>
    <row r="29" spans="1:21" x14ac:dyDescent="0.2">
      <c r="A29" s="7" t="str">
        <f t="shared" si="0"/>
        <v>208_A_post</v>
      </c>
      <c r="B29" s="7">
        <v>208</v>
      </c>
      <c r="C29" s="7" t="s">
        <v>1</v>
      </c>
      <c r="D29" s="7" t="s">
        <v>20</v>
      </c>
      <c r="E29" s="7" t="s">
        <v>4</v>
      </c>
      <c r="F29" s="7" t="s">
        <v>48</v>
      </c>
      <c r="G29" s="7" t="s">
        <v>27</v>
      </c>
      <c r="H29" s="7">
        <v>32</v>
      </c>
      <c r="I29" s="12">
        <v>88.933333333333337</v>
      </c>
      <c r="J29" s="12">
        <v>171.1</v>
      </c>
      <c r="K29" s="12">
        <v>30.378375879569557</v>
      </c>
      <c r="L29" s="12">
        <v>117.66666666666667</v>
      </c>
      <c r="M29" s="12">
        <v>71</v>
      </c>
      <c r="N29" s="2">
        <v>87</v>
      </c>
      <c r="O29" s="5">
        <v>2.6</v>
      </c>
      <c r="P29" s="2">
        <v>144</v>
      </c>
      <c r="Q29" s="2">
        <v>57</v>
      </c>
      <c r="R29" s="6">
        <v>77.599999999999994</v>
      </c>
      <c r="S29" s="5">
        <v>2.5263157894736841</v>
      </c>
      <c r="T29" s="2">
        <v>47</v>
      </c>
      <c r="U29" s="2">
        <v>87</v>
      </c>
    </row>
    <row r="30" spans="1:21" x14ac:dyDescent="0.2">
      <c r="A30" s="7" t="str">
        <f t="shared" si="0"/>
        <v>209_A_pre</v>
      </c>
      <c r="B30" s="7">
        <v>209</v>
      </c>
      <c r="C30" s="7" t="s">
        <v>1</v>
      </c>
      <c r="D30" s="7" t="s">
        <v>19</v>
      </c>
      <c r="E30" s="7" t="s">
        <v>1</v>
      </c>
      <c r="F30" s="7" t="s">
        <v>33</v>
      </c>
      <c r="G30" s="7" t="s">
        <v>26</v>
      </c>
      <c r="H30" s="7">
        <v>21</v>
      </c>
      <c r="I30" s="12">
        <v>59.4</v>
      </c>
      <c r="J30" s="12">
        <v>152.6</v>
      </c>
      <c r="K30" s="12">
        <v>25.508056938792684</v>
      </c>
      <c r="L30" s="12">
        <v>110.33333333333333</v>
      </c>
      <c r="M30" s="12">
        <v>75.666666666666671</v>
      </c>
      <c r="N30" s="2">
        <v>83</v>
      </c>
      <c r="O30" s="5">
        <v>8.1999999999999993</v>
      </c>
      <c r="P30" s="2">
        <v>162</v>
      </c>
      <c r="Q30" s="2">
        <v>57</v>
      </c>
      <c r="R30" s="6">
        <v>98.6</v>
      </c>
      <c r="S30" s="5">
        <v>2.8421052631578947</v>
      </c>
      <c r="T30" s="2">
        <v>32</v>
      </c>
      <c r="U30" s="2">
        <v>105</v>
      </c>
    </row>
    <row r="31" spans="1:21" x14ac:dyDescent="0.2">
      <c r="A31" s="7" t="str">
        <f t="shared" si="0"/>
        <v>209_A_post</v>
      </c>
      <c r="B31" s="7">
        <v>209</v>
      </c>
      <c r="C31" s="7" t="s">
        <v>1</v>
      </c>
      <c r="D31" s="7" t="s">
        <v>20</v>
      </c>
      <c r="E31" s="7" t="s">
        <v>2</v>
      </c>
      <c r="F31" s="7" t="s">
        <v>40</v>
      </c>
      <c r="G31" s="7" t="s">
        <v>26</v>
      </c>
      <c r="H31" s="7">
        <v>21</v>
      </c>
      <c r="I31" s="12">
        <v>58.4</v>
      </c>
      <c r="J31" s="12">
        <v>151.80000000000001</v>
      </c>
      <c r="K31" s="12">
        <v>25.34365827027796</v>
      </c>
      <c r="L31" s="12">
        <v>109.33333333333333</v>
      </c>
      <c r="M31" s="12">
        <v>75.333333333333329</v>
      </c>
      <c r="N31" s="2">
        <v>76</v>
      </c>
      <c r="O31" s="5">
        <v>6.9</v>
      </c>
      <c r="P31" s="2">
        <v>192</v>
      </c>
      <c r="Q31" s="2">
        <v>54</v>
      </c>
      <c r="R31" s="6">
        <v>129.19999999999999</v>
      </c>
      <c r="S31" s="5">
        <v>3.5555555555555554</v>
      </c>
      <c r="T31" s="2">
        <v>44</v>
      </c>
      <c r="U31" s="2">
        <v>138</v>
      </c>
    </row>
    <row r="32" spans="1:21" x14ac:dyDescent="0.2">
      <c r="A32" s="7" t="str">
        <f t="shared" si="0"/>
        <v>209_B_pre</v>
      </c>
      <c r="B32" s="7">
        <v>209</v>
      </c>
      <c r="C32" s="7" t="s">
        <v>2</v>
      </c>
      <c r="D32" s="7" t="s">
        <v>19</v>
      </c>
      <c r="E32" s="7" t="s">
        <v>3</v>
      </c>
      <c r="F32" s="7" t="s">
        <v>44</v>
      </c>
      <c r="G32" s="7" t="s">
        <v>26</v>
      </c>
      <c r="H32" s="7">
        <v>21</v>
      </c>
      <c r="I32" s="12">
        <v>58.20000000000001</v>
      </c>
      <c r="J32" s="12">
        <v>151.4</v>
      </c>
      <c r="K32" s="12">
        <v>25.390498892764846</v>
      </c>
      <c r="L32" s="12">
        <v>111</v>
      </c>
      <c r="M32" s="12">
        <v>77</v>
      </c>
      <c r="N32" s="2">
        <v>85</v>
      </c>
      <c r="O32" s="5">
        <v>6.2</v>
      </c>
      <c r="P32" s="2">
        <v>201</v>
      </c>
      <c r="Q32" s="2">
        <v>55</v>
      </c>
      <c r="R32" s="6">
        <v>135.80000000000001</v>
      </c>
      <c r="S32" s="5">
        <v>3.6545454545454548</v>
      </c>
      <c r="T32" s="2">
        <v>51</v>
      </c>
      <c r="U32" s="2">
        <v>146</v>
      </c>
    </row>
    <row r="33" spans="1:21" x14ac:dyDescent="0.2">
      <c r="A33" s="7" t="str">
        <f t="shared" si="0"/>
        <v>209_B_post</v>
      </c>
      <c r="B33" s="7">
        <v>209</v>
      </c>
      <c r="C33" s="7" t="s">
        <v>2</v>
      </c>
      <c r="D33" s="7" t="s">
        <v>20</v>
      </c>
      <c r="E33" s="7" t="s">
        <v>4</v>
      </c>
      <c r="F33" s="7" t="s">
        <v>48</v>
      </c>
      <c r="G33" s="7" t="s">
        <v>26</v>
      </c>
      <c r="H33" s="7">
        <v>21</v>
      </c>
      <c r="I33" s="12">
        <v>59.20000000000001</v>
      </c>
      <c r="J33" s="12">
        <v>151.69999999999999</v>
      </c>
      <c r="K33" s="12">
        <v>25.724713410614669</v>
      </c>
      <c r="L33" s="12">
        <v>113</v>
      </c>
      <c r="M33" s="12">
        <v>76.333333333333329</v>
      </c>
      <c r="N33" s="2">
        <v>91</v>
      </c>
      <c r="O33" s="5">
        <v>6.7</v>
      </c>
      <c r="P33" s="2">
        <v>181</v>
      </c>
      <c r="Q33" s="2">
        <v>61</v>
      </c>
      <c r="R33" s="6">
        <v>110.6</v>
      </c>
      <c r="S33" s="5">
        <v>2.9672131147540983</v>
      </c>
      <c r="T33" s="2">
        <v>47</v>
      </c>
      <c r="U33" s="2">
        <v>120</v>
      </c>
    </row>
    <row r="34" spans="1:21" x14ac:dyDescent="0.2">
      <c r="A34" s="7" t="str">
        <f t="shared" si="0"/>
        <v>210_B_pre</v>
      </c>
      <c r="B34" s="7">
        <v>210</v>
      </c>
      <c r="C34" s="9" t="s">
        <v>2</v>
      </c>
      <c r="D34" s="7" t="s">
        <v>19</v>
      </c>
      <c r="E34" s="7" t="s">
        <v>1</v>
      </c>
      <c r="F34" s="7" t="s">
        <v>33</v>
      </c>
      <c r="G34" s="7" t="s">
        <v>26</v>
      </c>
      <c r="H34" s="7">
        <v>45</v>
      </c>
      <c r="I34" s="12">
        <v>76.7</v>
      </c>
      <c r="J34" s="12">
        <v>154.19999999999999</v>
      </c>
      <c r="K34" s="12">
        <v>32.257196256651213</v>
      </c>
      <c r="L34" s="12">
        <v>127.66666666666667</v>
      </c>
      <c r="M34" s="12">
        <v>82.666666666666671</v>
      </c>
      <c r="N34" s="2">
        <v>84</v>
      </c>
      <c r="O34" s="5">
        <v>12.1</v>
      </c>
      <c r="P34" s="2">
        <v>208</v>
      </c>
      <c r="Q34" s="2">
        <v>52</v>
      </c>
      <c r="R34" s="6">
        <v>130.6</v>
      </c>
      <c r="S34" s="5">
        <v>4</v>
      </c>
      <c r="T34" s="2">
        <v>127</v>
      </c>
      <c r="U34" s="2">
        <v>156</v>
      </c>
    </row>
    <row r="35" spans="1:21" x14ac:dyDescent="0.2">
      <c r="A35" s="7" t="str">
        <f t="shared" si="0"/>
        <v>210_B_post</v>
      </c>
      <c r="B35" s="7">
        <v>210</v>
      </c>
      <c r="C35" s="9" t="s">
        <v>2</v>
      </c>
      <c r="D35" s="7" t="s">
        <v>20</v>
      </c>
      <c r="E35" s="7" t="s">
        <v>2</v>
      </c>
      <c r="F35" s="7" t="s">
        <v>40</v>
      </c>
      <c r="G35" s="7" t="s">
        <v>26</v>
      </c>
      <c r="H35" s="7">
        <v>45</v>
      </c>
      <c r="I35" s="12">
        <v>75.8</v>
      </c>
      <c r="J35" s="12">
        <v>153.9</v>
      </c>
      <c r="K35" s="12">
        <v>32.003093913881273</v>
      </c>
      <c r="L35" s="12">
        <v>117.33333333333333</v>
      </c>
      <c r="M35" s="12">
        <v>79</v>
      </c>
      <c r="N35" s="2">
        <v>81</v>
      </c>
      <c r="O35" s="5">
        <v>9.5</v>
      </c>
      <c r="P35" s="2">
        <v>218</v>
      </c>
      <c r="Q35" s="2">
        <v>52</v>
      </c>
      <c r="R35" s="6">
        <v>143.6</v>
      </c>
      <c r="S35" s="5">
        <v>4.1923076923076925</v>
      </c>
      <c r="T35" s="2">
        <v>112</v>
      </c>
      <c r="U35" s="2">
        <v>166</v>
      </c>
    </row>
    <row r="36" spans="1:21" x14ac:dyDescent="0.2">
      <c r="A36" s="7" t="str">
        <f t="shared" si="0"/>
        <v>210_A_pre</v>
      </c>
      <c r="B36" s="7">
        <v>210</v>
      </c>
      <c r="C36" s="9" t="s">
        <v>1</v>
      </c>
      <c r="D36" s="7" t="s">
        <v>19</v>
      </c>
      <c r="E36" s="7" t="s">
        <v>3</v>
      </c>
      <c r="F36" s="7" t="s">
        <v>44</v>
      </c>
      <c r="G36" s="7" t="s">
        <v>26</v>
      </c>
      <c r="H36" s="7">
        <v>45</v>
      </c>
      <c r="I36" s="12">
        <v>77.099999999999994</v>
      </c>
      <c r="J36" s="12">
        <v>153.9</v>
      </c>
      <c r="K36" s="12">
        <v>32.55195964063649</v>
      </c>
      <c r="L36" s="12">
        <v>125</v>
      </c>
      <c r="M36" s="12">
        <v>84.333333333333329</v>
      </c>
      <c r="N36" s="2">
        <v>85</v>
      </c>
      <c r="O36" s="5">
        <v>8</v>
      </c>
      <c r="P36" s="2">
        <v>203</v>
      </c>
      <c r="Q36" s="2">
        <v>50</v>
      </c>
      <c r="R36" s="6">
        <v>116.6</v>
      </c>
      <c r="S36" s="5">
        <v>4.0599999999999996</v>
      </c>
      <c r="T36" s="2">
        <v>182</v>
      </c>
      <c r="U36" s="2">
        <v>153</v>
      </c>
    </row>
    <row r="37" spans="1:21" x14ac:dyDescent="0.2">
      <c r="A37" s="7" t="str">
        <f t="shared" si="0"/>
        <v>210_A_post</v>
      </c>
      <c r="B37" s="7">
        <v>210</v>
      </c>
      <c r="C37" s="9" t="s">
        <v>1</v>
      </c>
      <c r="D37" s="7" t="s">
        <v>20</v>
      </c>
      <c r="E37" s="7" t="s">
        <v>4</v>
      </c>
      <c r="F37" s="7" t="s">
        <v>48</v>
      </c>
      <c r="G37" s="7" t="s">
        <v>26</v>
      </c>
      <c r="H37" s="7">
        <v>45</v>
      </c>
      <c r="I37" s="12">
        <v>74.233333333333334</v>
      </c>
      <c r="J37" s="12">
        <v>153.9</v>
      </c>
      <c r="K37" s="12">
        <v>31.34164034574037</v>
      </c>
      <c r="L37" s="12">
        <v>124.66666666666667</v>
      </c>
      <c r="M37" s="12">
        <v>83.666666666666671</v>
      </c>
      <c r="N37" s="2">
        <v>83</v>
      </c>
      <c r="O37" s="5">
        <v>4.7</v>
      </c>
      <c r="P37" s="2">
        <v>201</v>
      </c>
      <c r="Q37" s="2">
        <v>50</v>
      </c>
      <c r="R37" s="6">
        <v>123</v>
      </c>
      <c r="S37" s="5">
        <v>4.0199999999999996</v>
      </c>
      <c r="T37" s="2">
        <v>140</v>
      </c>
      <c r="U37" s="2">
        <v>151</v>
      </c>
    </row>
    <row r="38" spans="1:21" x14ac:dyDescent="0.2">
      <c r="A38" s="7" t="str">
        <f t="shared" si="0"/>
        <v>211_B_pre</v>
      </c>
      <c r="B38" s="7">
        <v>211</v>
      </c>
      <c r="C38" s="9" t="s">
        <v>2</v>
      </c>
      <c r="D38" s="7" t="s">
        <v>19</v>
      </c>
      <c r="E38" s="7" t="s">
        <v>1</v>
      </c>
      <c r="F38" s="7" t="s">
        <v>33</v>
      </c>
      <c r="G38" s="7" t="s">
        <v>26</v>
      </c>
      <c r="H38" s="7">
        <v>21</v>
      </c>
      <c r="I38" s="12">
        <v>64.066666666666663</v>
      </c>
      <c r="J38" s="12">
        <v>160.5</v>
      </c>
      <c r="K38" s="12">
        <v>24.870359048016486</v>
      </c>
      <c r="L38" s="12">
        <v>112.33333333333333</v>
      </c>
      <c r="M38" s="12">
        <v>74</v>
      </c>
      <c r="N38" s="2">
        <v>85</v>
      </c>
      <c r="O38" s="5">
        <v>10.3</v>
      </c>
      <c r="P38" s="2">
        <v>174</v>
      </c>
      <c r="Q38" s="2">
        <v>52</v>
      </c>
      <c r="R38" s="6">
        <v>115.4</v>
      </c>
      <c r="S38" s="5">
        <v>3.3461538461538463</v>
      </c>
      <c r="T38" s="2">
        <v>33</v>
      </c>
      <c r="U38" s="2">
        <v>122</v>
      </c>
    </row>
    <row r="39" spans="1:21" x14ac:dyDescent="0.2">
      <c r="A39" s="7" t="str">
        <f t="shared" si="0"/>
        <v>211_B_post</v>
      </c>
      <c r="B39" s="7">
        <v>211</v>
      </c>
      <c r="C39" s="9" t="s">
        <v>2</v>
      </c>
      <c r="D39" s="7" t="s">
        <v>20</v>
      </c>
      <c r="E39" s="7" t="s">
        <v>2</v>
      </c>
      <c r="F39" s="7" t="s">
        <v>40</v>
      </c>
      <c r="G39" s="7" t="s">
        <v>26</v>
      </c>
      <c r="H39" s="7">
        <v>21</v>
      </c>
      <c r="I39" s="12">
        <v>65.8</v>
      </c>
      <c r="J39" s="12">
        <v>160.69999999999999</v>
      </c>
      <c r="K39" s="12">
        <v>25.479690015175517</v>
      </c>
      <c r="L39" s="12">
        <v>108.66666666666667</v>
      </c>
      <c r="M39" s="12">
        <v>71.666666666666671</v>
      </c>
      <c r="N39" s="2">
        <v>76</v>
      </c>
      <c r="O39" s="5">
        <v>12.1</v>
      </c>
      <c r="P39" s="2">
        <v>160</v>
      </c>
      <c r="Q39" s="2">
        <v>51</v>
      </c>
      <c r="R39" s="6">
        <v>99</v>
      </c>
      <c r="S39" s="5">
        <v>3.1372549019607843</v>
      </c>
      <c r="T39" s="2">
        <v>50</v>
      </c>
      <c r="U39" s="2">
        <v>109</v>
      </c>
    </row>
    <row r="40" spans="1:21" x14ac:dyDescent="0.2">
      <c r="A40" s="7" t="str">
        <f t="shared" si="0"/>
        <v>211_A_pre</v>
      </c>
      <c r="B40" s="7">
        <v>211</v>
      </c>
      <c r="C40" s="9" t="s">
        <v>1</v>
      </c>
      <c r="D40" s="7" t="s">
        <v>19</v>
      </c>
      <c r="E40" s="7" t="s">
        <v>3</v>
      </c>
      <c r="F40" s="7" t="s">
        <v>44</v>
      </c>
      <c r="G40" s="7" t="s">
        <v>26</v>
      </c>
      <c r="H40" s="7">
        <v>21</v>
      </c>
      <c r="I40" s="12">
        <v>65.2</v>
      </c>
      <c r="J40" s="12">
        <v>160.4</v>
      </c>
      <c r="K40" s="12">
        <v>25.341882202225108</v>
      </c>
      <c r="L40" s="12">
        <v>113.33333333333333</v>
      </c>
      <c r="M40" s="12">
        <v>72.666666666666671</v>
      </c>
      <c r="N40" s="2">
        <v>91</v>
      </c>
      <c r="O40" s="5">
        <v>6.7</v>
      </c>
      <c r="P40" s="2">
        <v>180</v>
      </c>
      <c r="Q40" s="2">
        <v>56</v>
      </c>
      <c r="R40" s="6">
        <v>117.4</v>
      </c>
      <c r="S40" s="5">
        <v>3.2142857142857144</v>
      </c>
      <c r="T40" s="2">
        <v>33</v>
      </c>
      <c r="U40" s="2">
        <v>124</v>
      </c>
    </row>
    <row r="41" spans="1:21" x14ac:dyDescent="0.2">
      <c r="A41" s="7" t="str">
        <f t="shared" si="0"/>
        <v>211_A_post</v>
      </c>
      <c r="B41" s="7">
        <v>211</v>
      </c>
      <c r="C41" s="9" t="s">
        <v>1</v>
      </c>
      <c r="D41" s="7" t="s">
        <v>20</v>
      </c>
      <c r="E41" s="7" t="s">
        <v>4</v>
      </c>
      <c r="F41" s="7" t="s">
        <v>48</v>
      </c>
      <c r="G41" s="7" t="s">
        <v>26</v>
      </c>
      <c r="H41" s="7">
        <v>21</v>
      </c>
      <c r="I41" s="12">
        <v>65.2</v>
      </c>
      <c r="J41" s="12">
        <v>161</v>
      </c>
      <c r="K41" s="12">
        <v>25.153350565178812</v>
      </c>
      <c r="L41" s="12">
        <v>108.33333333333333</v>
      </c>
      <c r="M41" s="12">
        <v>72.333333333333329</v>
      </c>
      <c r="N41" s="2">
        <v>89</v>
      </c>
      <c r="O41" s="5">
        <v>8.1999999999999993</v>
      </c>
      <c r="P41" s="2">
        <v>168</v>
      </c>
      <c r="Q41" s="2">
        <v>51</v>
      </c>
      <c r="R41" s="6">
        <v>103.2</v>
      </c>
      <c r="S41" s="5">
        <v>3.2941176470588234</v>
      </c>
      <c r="T41" s="2">
        <v>69</v>
      </c>
      <c r="U41" s="2">
        <v>117</v>
      </c>
    </row>
    <row r="42" spans="1:21" x14ac:dyDescent="0.2">
      <c r="A42" s="7" t="str">
        <f t="shared" si="0"/>
        <v>213_A_pre</v>
      </c>
      <c r="B42" s="7">
        <v>213</v>
      </c>
      <c r="C42" s="7" t="s">
        <v>1</v>
      </c>
      <c r="D42" s="7" t="s">
        <v>19</v>
      </c>
      <c r="E42" s="7" t="s">
        <v>1</v>
      </c>
      <c r="F42" s="7" t="s">
        <v>33</v>
      </c>
      <c r="G42" s="7" t="s">
        <v>27</v>
      </c>
      <c r="H42" s="7">
        <v>31</v>
      </c>
      <c r="I42" s="12">
        <v>86.433333333333337</v>
      </c>
      <c r="J42" s="12">
        <v>188.19999999999996</v>
      </c>
      <c r="K42" s="12">
        <v>24.402932793965473</v>
      </c>
      <c r="L42" s="12">
        <v>107</v>
      </c>
      <c r="M42" s="12">
        <v>69.333333333333329</v>
      </c>
      <c r="N42" s="2">
        <v>69</v>
      </c>
      <c r="O42" s="5">
        <v>2.5</v>
      </c>
      <c r="P42" s="2">
        <v>226</v>
      </c>
      <c r="Q42" s="2">
        <v>64</v>
      </c>
      <c r="R42" s="6">
        <v>144.6</v>
      </c>
      <c r="S42" s="5">
        <v>3.53125</v>
      </c>
      <c r="T42" s="2">
        <v>87</v>
      </c>
      <c r="U42" s="2">
        <v>162</v>
      </c>
    </row>
    <row r="43" spans="1:21" x14ac:dyDescent="0.2">
      <c r="A43" s="7" t="str">
        <f t="shared" si="0"/>
        <v>213_A_post</v>
      </c>
      <c r="B43" s="7">
        <v>213</v>
      </c>
      <c r="C43" s="7" t="s">
        <v>1</v>
      </c>
      <c r="D43" s="7" t="s">
        <v>20</v>
      </c>
      <c r="E43" s="7" t="s">
        <v>2</v>
      </c>
      <c r="F43" s="7" t="s">
        <v>40</v>
      </c>
      <c r="G43" s="7" t="s">
        <v>27</v>
      </c>
      <c r="H43" s="7">
        <v>31</v>
      </c>
      <c r="I43" s="12">
        <v>84.5</v>
      </c>
      <c r="J43" s="12">
        <v>188.1</v>
      </c>
      <c r="K43" s="12">
        <v>23.882463234431672</v>
      </c>
      <c r="L43" s="12">
        <v>107.33333333333333</v>
      </c>
      <c r="M43" s="12">
        <v>70.333333333333329</v>
      </c>
      <c r="N43" s="2">
        <v>78</v>
      </c>
      <c r="O43" s="5">
        <v>5.6</v>
      </c>
      <c r="P43" s="2">
        <v>222</v>
      </c>
      <c r="Q43" s="2">
        <v>68</v>
      </c>
      <c r="R43" s="6">
        <v>141.6</v>
      </c>
      <c r="S43" s="5">
        <v>3.2647058823529411</v>
      </c>
      <c r="T43" s="2">
        <v>62</v>
      </c>
      <c r="U43" s="2">
        <v>154</v>
      </c>
    </row>
    <row r="44" spans="1:21" x14ac:dyDescent="0.2">
      <c r="A44" s="7" t="str">
        <f t="shared" si="0"/>
        <v>213_B_pre</v>
      </c>
      <c r="B44" s="7">
        <v>213</v>
      </c>
      <c r="C44" s="7" t="s">
        <v>2</v>
      </c>
      <c r="D44" s="7" t="s">
        <v>19</v>
      </c>
      <c r="E44" s="7" t="s">
        <v>3</v>
      </c>
      <c r="F44" s="7" t="s">
        <v>44</v>
      </c>
      <c r="G44" s="7" t="s">
        <v>27</v>
      </c>
      <c r="H44" s="7">
        <v>31</v>
      </c>
      <c r="I44" s="12">
        <v>81.099999999999994</v>
      </c>
      <c r="J44" s="12">
        <v>186.3</v>
      </c>
      <c r="K44" s="12">
        <v>23.366579567813353</v>
      </c>
      <c r="L44" s="12">
        <v>123</v>
      </c>
      <c r="M44" s="12">
        <v>77.666666666666671</v>
      </c>
      <c r="N44" s="2">
        <v>93</v>
      </c>
      <c r="O44" s="5">
        <v>6.2</v>
      </c>
      <c r="P44" s="2">
        <v>225</v>
      </c>
      <c r="Q44" s="2">
        <v>72</v>
      </c>
      <c r="R44" s="6">
        <v>142.80000000000001</v>
      </c>
      <c r="S44" s="5">
        <v>3.125</v>
      </c>
      <c r="T44" s="2">
        <v>51</v>
      </c>
      <c r="U44" s="2">
        <v>153</v>
      </c>
    </row>
    <row r="45" spans="1:21" x14ac:dyDescent="0.2">
      <c r="A45" s="7" t="str">
        <f t="shared" si="0"/>
        <v>213_B_post</v>
      </c>
      <c r="B45" s="7">
        <v>213</v>
      </c>
      <c r="C45" s="7" t="s">
        <v>2</v>
      </c>
      <c r="D45" s="7" t="s">
        <v>20</v>
      </c>
      <c r="E45" s="7" t="s">
        <v>4</v>
      </c>
      <c r="F45" s="7" t="s">
        <v>48</v>
      </c>
      <c r="G45" s="7" t="s">
        <v>27</v>
      </c>
      <c r="H45" s="7">
        <v>31</v>
      </c>
      <c r="I45" s="12">
        <v>81.5</v>
      </c>
      <c r="J45" s="12">
        <v>188.2</v>
      </c>
      <c r="K45" s="12">
        <v>23.010092819608783</v>
      </c>
      <c r="L45" s="12">
        <v>118.33333333333333</v>
      </c>
      <c r="M45" s="12">
        <v>76.333333333333329</v>
      </c>
      <c r="N45" s="2">
        <v>94</v>
      </c>
      <c r="O45" s="5">
        <v>6.4</v>
      </c>
      <c r="P45" s="2">
        <v>223</v>
      </c>
      <c r="Q45" s="2">
        <v>77</v>
      </c>
      <c r="R45" s="6">
        <v>138.19999999999999</v>
      </c>
      <c r="S45" s="5">
        <v>2.8961038961038961</v>
      </c>
      <c r="T45" s="2">
        <v>39</v>
      </c>
      <c r="U45" s="2">
        <v>146</v>
      </c>
    </row>
    <row r="46" spans="1:21" x14ac:dyDescent="0.2">
      <c r="A46" s="7" t="str">
        <f t="shared" si="0"/>
        <v>214_B_pre</v>
      </c>
      <c r="B46" s="7">
        <v>214</v>
      </c>
      <c r="C46" s="9" t="s">
        <v>2</v>
      </c>
      <c r="D46" s="7" t="s">
        <v>19</v>
      </c>
      <c r="E46" s="7" t="s">
        <v>1</v>
      </c>
      <c r="F46" s="7" t="s">
        <v>33</v>
      </c>
      <c r="G46" s="7" t="s">
        <v>26</v>
      </c>
      <c r="H46" s="7">
        <v>37</v>
      </c>
      <c r="I46" s="12">
        <v>75.8</v>
      </c>
      <c r="J46" s="12">
        <v>165.1</v>
      </c>
      <c r="K46" s="12">
        <v>27.808339640347917</v>
      </c>
      <c r="L46" s="12">
        <v>121.33333333333333</v>
      </c>
      <c r="M46" s="12">
        <v>84.666666666666671</v>
      </c>
      <c r="N46" s="2">
        <v>85</v>
      </c>
      <c r="O46" s="5">
        <v>4.9000000000000004</v>
      </c>
      <c r="P46" s="2">
        <v>179</v>
      </c>
      <c r="Q46" s="2">
        <v>58</v>
      </c>
      <c r="R46" s="6">
        <v>107.8</v>
      </c>
      <c r="S46" s="5">
        <v>3.0862068965517242</v>
      </c>
      <c r="T46" s="2">
        <v>66</v>
      </c>
      <c r="U46" s="2">
        <v>121</v>
      </c>
    </row>
    <row r="47" spans="1:21" x14ac:dyDescent="0.2">
      <c r="A47" s="7" t="str">
        <f t="shared" si="0"/>
        <v>214_B_post</v>
      </c>
      <c r="B47" s="7">
        <v>214</v>
      </c>
      <c r="C47" s="9" t="s">
        <v>2</v>
      </c>
      <c r="D47" s="7" t="s">
        <v>20</v>
      </c>
      <c r="E47" s="7" t="s">
        <v>2</v>
      </c>
      <c r="F47" s="7" t="s">
        <v>40</v>
      </c>
      <c r="G47" s="7" t="s">
        <v>26</v>
      </c>
      <c r="H47" s="7">
        <v>37</v>
      </c>
      <c r="I47" s="12">
        <v>75.7</v>
      </c>
      <c r="J47" s="12">
        <v>164.5</v>
      </c>
      <c r="K47" s="12">
        <v>27.974612207943387</v>
      </c>
      <c r="L47" s="12">
        <v>128</v>
      </c>
      <c r="M47" s="12">
        <v>88.666666666666671</v>
      </c>
      <c r="N47" s="2">
        <v>84</v>
      </c>
      <c r="O47" s="5">
        <v>3.3</v>
      </c>
      <c r="P47" s="2">
        <v>189</v>
      </c>
      <c r="Q47" s="2">
        <v>57</v>
      </c>
      <c r="R47" s="6">
        <v>121</v>
      </c>
      <c r="S47" s="5">
        <v>3.3157894736842106</v>
      </c>
      <c r="T47" s="2">
        <v>55</v>
      </c>
      <c r="U47" s="2">
        <v>132</v>
      </c>
    </row>
    <row r="48" spans="1:21" x14ac:dyDescent="0.2">
      <c r="A48" s="7" t="str">
        <f t="shared" si="0"/>
        <v>214_A_pre</v>
      </c>
      <c r="B48" s="7">
        <v>214</v>
      </c>
      <c r="C48" s="9" t="s">
        <v>1</v>
      </c>
      <c r="D48" s="7" t="s">
        <v>19</v>
      </c>
      <c r="E48" s="7" t="s">
        <v>3</v>
      </c>
      <c r="F48" s="7" t="s">
        <v>44</v>
      </c>
      <c r="G48" s="7" t="s">
        <v>26</v>
      </c>
      <c r="H48" s="7">
        <v>37</v>
      </c>
      <c r="I48" s="12">
        <v>75.766666666666666</v>
      </c>
      <c r="J48" s="12">
        <v>164.96666666666667</v>
      </c>
      <c r="K48" s="12">
        <v>27.841061061665112</v>
      </c>
      <c r="L48" s="12">
        <v>111.66666666666667</v>
      </c>
      <c r="M48" s="12">
        <v>80.666666666666671</v>
      </c>
      <c r="N48" s="2">
        <v>82</v>
      </c>
      <c r="O48" s="5">
        <v>2.6</v>
      </c>
      <c r="P48" s="2">
        <v>185</v>
      </c>
      <c r="Q48" s="2">
        <v>46</v>
      </c>
      <c r="R48" s="6">
        <v>125.6</v>
      </c>
      <c r="S48" s="5">
        <v>4.0217391304347823</v>
      </c>
      <c r="T48" s="2">
        <v>67</v>
      </c>
      <c r="U48" s="2">
        <v>139</v>
      </c>
    </row>
    <row r="49" spans="1:21" x14ac:dyDescent="0.2">
      <c r="A49" s="7" t="str">
        <f t="shared" si="0"/>
        <v>214_A_post</v>
      </c>
      <c r="B49" s="7">
        <v>214</v>
      </c>
      <c r="C49" s="9" t="s">
        <v>1</v>
      </c>
      <c r="D49" s="7" t="s">
        <v>20</v>
      </c>
      <c r="E49" s="7" t="s">
        <v>4</v>
      </c>
      <c r="F49" s="7" t="s">
        <v>48</v>
      </c>
      <c r="G49" s="7" t="s">
        <v>26</v>
      </c>
      <c r="H49" s="7">
        <v>37</v>
      </c>
      <c r="I49" s="12">
        <v>74.900000000000006</v>
      </c>
      <c r="J49" s="12">
        <v>166</v>
      </c>
      <c r="K49" s="12">
        <v>27.181013209464368</v>
      </c>
      <c r="L49" s="12">
        <v>119.33333333333333</v>
      </c>
      <c r="M49" s="12">
        <v>85.666666666666671</v>
      </c>
      <c r="N49" s="2">
        <v>82</v>
      </c>
      <c r="O49" s="5">
        <v>4</v>
      </c>
      <c r="P49" s="2">
        <v>185</v>
      </c>
      <c r="Q49" s="2">
        <v>51</v>
      </c>
      <c r="R49" s="6">
        <v>116.4</v>
      </c>
      <c r="S49" s="5">
        <v>3.6274509803921569</v>
      </c>
      <c r="T49" s="2">
        <v>88</v>
      </c>
      <c r="U49" s="2">
        <v>134</v>
      </c>
    </row>
    <row r="50" spans="1:21" x14ac:dyDescent="0.2">
      <c r="A50" s="7" t="str">
        <f t="shared" si="0"/>
        <v>215_B_pre</v>
      </c>
      <c r="B50" s="7">
        <v>215</v>
      </c>
      <c r="C50" s="9" t="s">
        <v>2</v>
      </c>
      <c r="D50" s="7" t="s">
        <v>19</v>
      </c>
      <c r="E50" s="7" t="s">
        <v>1</v>
      </c>
      <c r="F50" s="7" t="s">
        <v>33</v>
      </c>
      <c r="G50" s="7" t="s">
        <v>27</v>
      </c>
      <c r="H50" s="7">
        <v>27</v>
      </c>
      <c r="I50" s="12">
        <v>67</v>
      </c>
      <c r="J50" s="12">
        <v>166.46666666666667</v>
      </c>
      <c r="K50" s="12">
        <v>24.177992365367874</v>
      </c>
      <c r="L50" s="12">
        <v>108</v>
      </c>
      <c r="M50" s="12">
        <v>73.666666666666671</v>
      </c>
      <c r="N50" s="2">
        <v>84</v>
      </c>
      <c r="O50" s="5">
        <v>3.1</v>
      </c>
      <c r="P50" s="2">
        <v>190</v>
      </c>
      <c r="Q50" s="2">
        <v>51</v>
      </c>
      <c r="R50" s="6">
        <v>122.4</v>
      </c>
      <c r="S50" s="5">
        <v>3.7254901960784315</v>
      </c>
      <c r="T50" s="2">
        <v>83</v>
      </c>
      <c r="U50" s="2">
        <v>139</v>
      </c>
    </row>
    <row r="51" spans="1:21" x14ac:dyDescent="0.2">
      <c r="A51" s="7" t="str">
        <f t="shared" si="0"/>
        <v>215_B_post</v>
      </c>
      <c r="B51" s="7">
        <v>215</v>
      </c>
      <c r="C51" s="9" t="s">
        <v>2</v>
      </c>
      <c r="D51" s="7" t="s">
        <v>20</v>
      </c>
      <c r="E51" s="7" t="s">
        <v>2</v>
      </c>
      <c r="F51" s="7" t="s">
        <v>40</v>
      </c>
      <c r="G51" s="7" t="s">
        <v>27</v>
      </c>
      <c r="H51" s="7">
        <v>27</v>
      </c>
      <c r="I51" s="12">
        <v>66.766666666666666</v>
      </c>
      <c r="J51" s="12">
        <v>165.63333333333333</v>
      </c>
      <c r="K51" s="12">
        <v>24.336841324240076</v>
      </c>
      <c r="L51" s="12">
        <v>112</v>
      </c>
      <c r="M51" s="12">
        <v>74.666666666666671</v>
      </c>
      <c r="N51" s="2">
        <v>88</v>
      </c>
      <c r="O51" s="5">
        <v>4.5</v>
      </c>
      <c r="P51" s="2">
        <v>167</v>
      </c>
      <c r="Q51" s="2">
        <v>52</v>
      </c>
      <c r="R51" s="6">
        <v>104.4</v>
      </c>
      <c r="S51" s="5">
        <v>3.2115384615384617</v>
      </c>
      <c r="T51" s="2">
        <v>53</v>
      </c>
      <c r="U51" s="2">
        <v>115</v>
      </c>
    </row>
    <row r="52" spans="1:21" x14ac:dyDescent="0.2">
      <c r="A52" s="7" t="str">
        <f t="shared" si="0"/>
        <v>215_A_pre</v>
      </c>
      <c r="B52" s="7">
        <v>215</v>
      </c>
      <c r="C52" s="9" t="s">
        <v>1</v>
      </c>
      <c r="D52" s="7" t="s">
        <v>19</v>
      </c>
      <c r="E52" s="7" t="s">
        <v>3</v>
      </c>
      <c r="F52" s="7" t="s">
        <v>44</v>
      </c>
      <c r="G52" s="7" t="s">
        <v>27</v>
      </c>
      <c r="H52" s="7">
        <v>27</v>
      </c>
      <c r="I52" s="12">
        <v>67.8</v>
      </c>
      <c r="J52" s="12">
        <v>166.1</v>
      </c>
      <c r="K52" s="12">
        <v>24.574824723143575</v>
      </c>
      <c r="L52" s="12">
        <v>116.66666666666667</v>
      </c>
      <c r="M52" s="12">
        <v>77.666666666666671</v>
      </c>
      <c r="N52" s="2">
        <v>91</v>
      </c>
      <c r="O52" s="5">
        <v>5.2</v>
      </c>
      <c r="P52" s="2">
        <v>174</v>
      </c>
      <c r="Q52" s="2">
        <v>52</v>
      </c>
      <c r="R52" s="6">
        <v>105.2</v>
      </c>
      <c r="S52" s="5">
        <v>3.3461538461538463</v>
      </c>
      <c r="T52" s="2">
        <v>84</v>
      </c>
      <c r="U52" s="2">
        <v>122</v>
      </c>
    </row>
    <row r="53" spans="1:21" x14ac:dyDescent="0.2">
      <c r="A53" s="7" t="str">
        <f t="shared" si="0"/>
        <v>215_A_post</v>
      </c>
      <c r="B53" s="7">
        <v>215</v>
      </c>
      <c r="C53" s="9" t="s">
        <v>1</v>
      </c>
      <c r="D53" s="7" t="s">
        <v>20</v>
      </c>
      <c r="E53" s="7" t="s">
        <v>4</v>
      </c>
      <c r="F53" s="7" t="s">
        <v>48</v>
      </c>
      <c r="G53" s="7" t="s">
        <v>27</v>
      </c>
      <c r="H53" s="7">
        <v>27</v>
      </c>
      <c r="I53" s="12">
        <v>67.8</v>
      </c>
      <c r="J53" s="12">
        <v>165.9</v>
      </c>
      <c r="K53" s="12">
        <v>24.634112577894481</v>
      </c>
      <c r="L53" s="12">
        <v>114</v>
      </c>
      <c r="M53" s="12">
        <v>77.333333333333329</v>
      </c>
      <c r="N53" s="2">
        <v>84</v>
      </c>
      <c r="O53" s="5">
        <v>4.4000000000000004</v>
      </c>
      <c r="P53" s="2">
        <v>200</v>
      </c>
      <c r="Q53" s="2">
        <v>54</v>
      </c>
      <c r="R53" s="6">
        <v>136</v>
      </c>
      <c r="S53" s="5">
        <v>3.7037037037037037</v>
      </c>
      <c r="T53" s="2">
        <v>50</v>
      </c>
      <c r="U53" s="2">
        <v>146</v>
      </c>
    </row>
    <row r="54" spans="1:21" x14ac:dyDescent="0.2">
      <c r="A54" s="7" t="str">
        <f t="shared" si="0"/>
        <v>216_A_pre</v>
      </c>
      <c r="B54" s="7">
        <v>216</v>
      </c>
      <c r="C54" s="7" t="s">
        <v>1</v>
      </c>
      <c r="D54" s="7" t="s">
        <v>19</v>
      </c>
      <c r="E54" s="7" t="s">
        <v>1</v>
      </c>
      <c r="F54" s="7" t="s">
        <v>33</v>
      </c>
      <c r="G54" s="7" t="s">
        <v>26</v>
      </c>
      <c r="H54" s="7">
        <v>22</v>
      </c>
      <c r="I54" s="12">
        <v>88.90000000000002</v>
      </c>
      <c r="J54" s="12">
        <v>173.19999999999996</v>
      </c>
      <c r="K54" s="12">
        <v>29.635071924219577</v>
      </c>
      <c r="L54" s="12">
        <v>105</v>
      </c>
      <c r="M54" s="12">
        <v>71.666666666666671</v>
      </c>
      <c r="N54" s="2">
        <v>83</v>
      </c>
      <c r="O54" s="5">
        <v>12.2</v>
      </c>
      <c r="P54" s="2">
        <v>155</v>
      </c>
      <c r="Q54" s="2">
        <v>41</v>
      </c>
      <c r="R54" s="6">
        <v>99</v>
      </c>
      <c r="S54" s="5">
        <v>3.7804878048780486</v>
      </c>
      <c r="T54" s="2">
        <v>75</v>
      </c>
      <c r="U54" s="2">
        <v>114</v>
      </c>
    </row>
    <row r="55" spans="1:21" x14ac:dyDescent="0.2">
      <c r="A55" s="7" t="str">
        <f t="shared" si="0"/>
        <v>216_A_post</v>
      </c>
      <c r="B55" s="7">
        <v>216</v>
      </c>
      <c r="C55" s="7" t="s">
        <v>1</v>
      </c>
      <c r="D55" s="7" t="s">
        <v>20</v>
      </c>
      <c r="E55" s="7" t="s">
        <v>2</v>
      </c>
      <c r="F55" s="7" t="s">
        <v>40</v>
      </c>
      <c r="G55" s="7" t="s">
        <v>26</v>
      </c>
      <c r="H55" s="7">
        <v>22</v>
      </c>
      <c r="I55" s="12">
        <v>88.90000000000002</v>
      </c>
      <c r="J55" s="12">
        <v>173.9</v>
      </c>
      <c r="K55" s="12">
        <v>29.396971880424097</v>
      </c>
      <c r="L55" s="12">
        <v>111.66666666666667</v>
      </c>
      <c r="M55" s="12">
        <v>74.666666666666671</v>
      </c>
      <c r="N55" s="2">
        <v>79</v>
      </c>
      <c r="O55" s="5">
        <v>9.4</v>
      </c>
      <c r="P55" s="2">
        <v>136</v>
      </c>
      <c r="Q55" s="2">
        <v>36</v>
      </c>
      <c r="R55" s="6">
        <v>84</v>
      </c>
      <c r="S55" s="5">
        <v>3.7777777777777777</v>
      </c>
      <c r="T55" s="2">
        <v>80</v>
      </c>
      <c r="U55" s="2">
        <v>100</v>
      </c>
    </row>
    <row r="56" spans="1:21" x14ac:dyDescent="0.2">
      <c r="A56" s="7" t="str">
        <f t="shared" si="0"/>
        <v>216_B_pre</v>
      </c>
      <c r="B56" s="7">
        <v>216</v>
      </c>
      <c r="C56" s="7" t="s">
        <v>2</v>
      </c>
      <c r="D56" s="7" t="s">
        <v>19</v>
      </c>
      <c r="E56" s="7" t="s">
        <v>3</v>
      </c>
      <c r="F56" s="7" t="s">
        <v>44</v>
      </c>
      <c r="G56" s="7" t="s">
        <v>26</v>
      </c>
      <c r="H56" s="7">
        <v>22</v>
      </c>
      <c r="I56" s="12">
        <v>86.166666666666671</v>
      </c>
      <c r="J56" s="12">
        <v>173.5</v>
      </c>
      <c r="K56" s="12">
        <v>28.624659839934445</v>
      </c>
      <c r="L56" s="12">
        <v>111</v>
      </c>
      <c r="M56" s="12">
        <v>75</v>
      </c>
      <c r="N56" s="2">
        <v>85</v>
      </c>
      <c r="O56" s="5">
        <v>6.6</v>
      </c>
      <c r="P56" s="2">
        <v>150</v>
      </c>
      <c r="Q56" s="2">
        <v>37</v>
      </c>
      <c r="R56" s="6">
        <v>99.6</v>
      </c>
      <c r="S56" s="5">
        <v>4.0540540540540544</v>
      </c>
      <c r="T56" s="2">
        <v>67</v>
      </c>
      <c r="U56" s="2">
        <v>113</v>
      </c>
    </row>
    <row r="57" spans="1:21" x14ac:dyDescent="0.2">
      <c r="A57" s="7" t="str">
        <f t="shared" si="0"/>
        <v>216_B_post</v>
      </c>
      <c r="B57" s="7">
        <v>216</v>
      </c>
      <c r="C57" s="7" t="s">
        <v>2</v>
      </c>
      <c r="D57" s="7" t="s">
        <v>20</v>
      </c>
      <c r="E57" s="7" t="s">
        <v>4</v>
      </c>
      <c r="F57" s="7" t="s">
        <v>48</v>
      </c>
      <c r="G57" s="7" t="s">
        <v>26</v>
      </c>
      <c r="H57" s="7">
        <v>22</v>
      </c>
      <c r="I57" s="12">
        <v>86.8</v>
      </c>
      <c r="J57" s="12">
        <v>173.5</v>
      </c>
      <c r="K57" s="12">
        <v>28.835053858100306</v>
      </c>
      <c r="L57" s="12">
        <v>109.66666666666667</v>
      </c>
      <c r="M57" s="12">
        <v>73</v>
      </c>
      <c r="N57" s="2">
        <v>76</v>
      </c>
      <c r="O57" s="5">
        <v>9.5</v>
      </c>
      <c r="P57" s="2">
        <v>155</v>
      </c>
      <c r="Q57" s="2">
        <v>39</v>
      </c>
      <c r="R57" s="6">
        <v>99.2</v>
      </c>
      <c r="S57" s="5">
        <v>3.9743589743589745</v>
      </c>
      <c r="T57" s="2">
        <v>84</v>
      </c>
      <c r="U57" s="2">
        <v>116</v>
      </c>
    </row>
    <row r="58" spans="1:21" x14ac:dyDescent="0.2">
      <c r="A58" s="7" t="str">
        <f t="shared" si="0"/>
        <v>218_B_pre</v>
      </c>
      <c r="B58" s="7">
        <v>218</v>
      </c>
      <c r="C58" s="9" t="s">
        <v>2</v>
      </c>
      <c r="D58" s="7" t="s">
        <v>19</v>
      </c>
      <c r="E58" s="7" t="s">
        <v>1</v>
      </c>
      <c r="F58" s="7" t="s">
        <v>33</v>
      </c>
      <c r="G58" s="7" t="s">
        <v>26</v>
      </c>
      <c r="H58" s="7">
        <v>32</v>
      </c>
      <c r="I58" s="12">
        <v>85.966666666666654</v>
      </c>
      <c r="J58" s="12">
        <v>170.13333333333333</v>
      </c>
      <c r="K58" s="12">
        <v>29.699645492870545</v>
      </c>
      <c r="L58" s="12">
        <v>112.66666666666667</v>
      </c>
      <c r="M58" s="12">
        <v>77</v>
      </c>
      <c r="N58" s="2">
        <v>96</v>
      </c>
      <c r="O58" s="5">
        <v>13.4</v>
      </c>
      <c r="P58" s="2">
        <v>169</v>
      </c>
      <c r="Q58" s="2">
        <v>33</v>
      </c>
      <c r="R58" s="6">
        <v>101.8</v>
      </c>
      <c r="S58" s="5">
        <v>5.1212121212121211</v>
      </c>
      <c r="T58" s="2">
        <v>171</v>
      </c>
      <c r="U58" s="2">
        <v>136</v>
      </c>
    </row>
    <row r="59" spans="1:21" x14ac:dyDescent="0.2">
      <c r="A59" s="7" t="str">
        <f t="shared" si="0"/>
        <v>218_B_post</v>
      </c>
      <c r="B59" s="7">
        <v>218</v>
      </c>
      <c r="C59" s="9" t="s">
        <v>2</v>
      </c>
      <c r="D59" s="7" t="s">
        <v>20</v>
      </c>
      <c r="E59" s="7" t="s">
        <v>2</v>
      </c>
      <c r="F59" s="7" t="s">
        <v>40</v>
      </c>
      <c r="G59" s="7" t="s">
        <v>26</v>
      </c>
      <c r="H59" s="7">
        <v>32</v>
      </c>
      <c r="I59" s="12">
        <v>86.7</v>
      </c>
      <c r="J59" s="12">
        <v>170.43333333333331</v>
      </c>
      <c r="K59" s="12">
        <v>29.847641617458365</v>
      </c>
      <c r="L59" s="12">
        <v>114</v>
      </c>
      <c r="M59" s="12">
        <v>73</v>
      </c>
      <c r="N59" s="2">
        <v>94</v>
      </c>
      <c r="O59" s="5">
        <v>16.899999999999999</v>
      </c>
      <c r="P59" s="2">
        <v>171</v>
      </c>
      <c r="Q59" s="2">
        <v>34</v>
      </c>
      <c r="R59" s="6">
        <v>106.2</v>
      </c>
      <c r="S59" s="5">
        <v>5.0294117647058822</v>
      </c>
      <c r="T59" s="2">
        <v>154</v>
      </c>
      <c r="U59" s="2">
        <v>137</v>
      </c>
    </row>
    <row r="60" spans="1:21" x14ac:dyDescent="0.2">
      <c r="A60" s="7" t="str">
        <f t="shared" si="0"/>
        <v>218_A_pre</v>
      </c>
      <c r="B60" s="7">
        <v>218</v>
      </c>
      <c r="C60" s="9" t="s">
        <v>1</v>
      </c>
      <c r="D60" s="7" t="s">
        <v>19</v>
      </c>
      <c r="E60" s="7" t="s">
        <v>3</v>
      </c>
      <c r="F60" s="7" t="s">
        <v>44</v>
      </c>
      <c r="G60" s="7" t="s">
        <v>26</v>
      </c>
      <c r="H60" s="7">
        <v>32</v>
      </c>
      <c r="I60" s="12">
        <v>86.7</v>
      </c>
      <c r="J60" s="12">
        <v>169.9</v>
      </c>
      <c r="K60" s="12">
        <v>30.035325283958539</v>
      </c>
      <c r="L60" s="12">
        <v>115.66666666666667</v>
      </c>
      <c r="M60" s="12">
        <v>78</v>
      </c>
      <c r="N60" s="2">
        <v>104</v>
      </c>
      <c r="O60" s="5">
        <v>16.399999999999999</v>
      </c>
      <c r="P60" s="2">
        <v>164</v>
      </c>
      <c r="Q60" s="2">
        <v>34</v>
      </c>
      <c r="R60" s="6">
        <v>104.6</v>
      </c>
      <c r="S60" s="5">
        <v>4.8235294117647056</v>
      </c>
      <c r="T60" s="2">
        <v>127</v>
      </c>
      <c r="U60" s="2">
        <v>130</v>
      </c>
    </row>
    <row r="61" spans="1:21" x14ac:dyDescent="0.2">
      <c r="A61" s="7" t="str">
        <f t="shared" si="0"/>
        <v>218_A_post</v>
      </c>
      <c r="B61" s="7">
        <v>218</v>
      </c>
      <c r="C61" s="9" t="s">
        <v>1</v>
      </c>
      <c r="D61" s="7" t="s">
        <v>20</v>
      </c>
      <c r="E61" s="7" t="s">
        <v>4</v>
      </c>
      <c r="F61" s="7" t="s">
        <v>48</v>
      </c>
      <c r="G61" s="7" t="s">
        <v>26</v>
      </c>
      <c r="H61" s="7">
        <v>32</v>
      </c>
      <c r="I61" s="12">
        <v>86.40000000000002</v>
      </c>
      <c r="J61" s="12">
        <v>169.3</v>
      </c>
      <c r="K61" s="12">
        <v>30.143926783751173</v>
      </c>
      <c r="L61" s="12">
        <v>115.66666666666667</v>
      </c>
      <c r="M61" s="12">
        <v>76.333333333333329</v>
      </c>
      <c r="N61" s="2">
        <v>100</v>
      </c>
      <c r="O61" s="5">
        <v>17.2</v>
      </c>
      <c r="P61" s="2">
        <v>152</v>
      </c>
      <c r="Q61" s="2">
        <v>32</v>
      </c>
      <c r="R61" s="6">
        <v>93.4</v>
      </c>
      <c r="S61" s="5">
        <v>4.75</v>
      </c>
      <c r="T61" s="2">
        <v>133</v>
      </c>
      <c r="U61" s="2">
        <v>120</v>
      </c>
    </row>
    <row r="62" spans="1:21" x14ac:dyDescent="0.2">
      <c r="A62" s="7" t="str">
        <f t="shared" si="0"/>
        <v>220_B_pre</v>
      </c>
      <c r="B62" s="7">
        <v>220</v>
      </c>
      <c r="C62" s="9" t="s">
        <v>2</v>
      </c>
      <c r="D62" s="7" t="s">
        <v>19</v>
      </c>
      <c r="E62" s="7" t="s">
        <v>1</v>
      </c>
      <c r="F62" s="7" t="s">
        <v>33</v>
      </c>
      <c r="G62" s="7" t="s">
        <v>26</v>
      </c>
      <c r="H62" s="7">
        <v>30</v>
      </c>
      <c r="I62" s="12">
        <v>65.63333333333334</v>
      </c>
      <c r="J62" s="12">
        <v>171.16666666666666</v>
      </c>
      <c r="K62" s="12">
        <v>22.401962968686746</v>
      </c>
      <c r="L62" s="12">
        <v>104.33333333333333</v>
      </c>
      <c r="M62" s="12">
        <v>65.333333333333329</v>
      </c>
      <c r="N62" s="2">
        <v>73</v>
      </c>
      <c r="O62" s="5">
        <v>3.4</v>
      </c>
      <c r="P62" s="2">
        <v>162</v>
      </c>
      <c r="Q62" s="2">
        <v>76</v>
      </c>
      <c r="R62" s="6">
        <v>79.400000000000006</v>
      </c>
      <c r="S62" s="5">
        <v>2.1315789473684212</v>
      </c>
      <c r="T62" s="2">
        <v>33</v>
      </c>
      <c r="U62" s="2">
        <v>86</v>
      </c>
    </row>
    <row r="63" spans="1:21" x14ac:dyDescent="0.2">
      <c r="A63" s="7" t="str">
        <f t="shared" si="0"/>
        <v>220_B_post</v>
      </c>
      <c r="B63" s="7">
        <v>220</v>
      </c>
      <c r="C63" s="9" t="s">
        <v>2</v>
      </c>
      <c r="D63" s="7" t="s">
        <v>20</v>
      </c>
      <c r="E63" s="7" t="s">
        <v>2</v>
      </c>
      <c r="F63" s="7" t="s">
        <v>40</v>
      </c>
      <c r="G63" s="7" t="s">
        <v>26</v>
      </c>
      <c r="H63" s="7">
        <v>30</v>
      </c>
      <c r="I63" s="12">
        <v>67</v>
      </c>
      <c r="J63" s="12">
        <v>171.1</v>
      </c>
      <c r="K63" s="12">
        <v>22.886257690380361</v>
      </c>
      <c r="L63" s="12">
        <v>111</v>
      </c>
      <c r="M63" s="12">
        <v>72.333333333333329</v>
      </c>
      <c r="N63" s="2">
        <v>89</v>
      </c>
      <c r="O63" s="5">
        <v>13</v>
      </c>
      <c r="P63" s="2">
        <v>176</v>
      </c>
      <c r="Q63" s="2">
        <v>94</v>
      </c>
      <c r="R63" s="6">
        <v>73.400000000000006</v>
      </c>
      <c r="S63" s="5">
        <v>1.8723404255319149</v>
      </c>
      <c r="T63" s="2">
        <v>43</v>
      </c>
      <c r="U63" s="2">
        <v>82</v>
      </c>
    </row>
    <row r="64" spans="1:21" x14ac:dyDescent="0.2">
      <c r="A64" s="7" t="str">
        <f t="shared" si="0"/>
        <v>220_A_pre</v>
      </c>
      <c r="B64" s="7">
        <v>220</v>
      </c>
      <c r="C64" s="9" t="s">
        <v>1</v>
      </c>
      <c r="D64" s="7" t="s">
        <v>19</v>
      </c>
      <c r="E64" s="7" t="s">
        <v>3</v>
      </c>
      <c r="F64" s="7" t="s">
        <v>44</v>
      </c>
      <c r="G64" s="7" t="s">
        <v>26</v>
      </c>
      <c r="H64" s="7">
        <v>30</v>
      </c>
      <c r="I64" s="12">
        <v>65.5</v>
      </c>
      <c r="J64" s="12">
        <v>171.1</v>
      </c>
      <c r="K64" s="12">
        <v>22.373878786864385</v>
      </c>
      <c r="L64" s="12">
        <v>108.33333333333333</v>
      </c>
      <c r="M64" s="12">
        <v>68.333333333333329</v>
      </c>
      <c r="N64" s="2">
        <v>88</v>
      </c>
      <c r="O64" s="5">
        <v>4</v>
      </c>
      <c r="P64" s="2">
        <v>208</v>
      </c>
      <c r="Q64" s="2">
        <v>92</v>
      </c>
      <c r="R64" s="6">
        <v>107.8</v>
      </c>
      <c r="S64" s="5">
        <v>2.2608695652173911</v>
      </c>
      <c r="T64" s="2">
        <v>41</v>
      </c>
      <c r="U64" s="2">
        <v>116</v>
      </c>
    </row>
    <row r="65" spans="1:21" x14ac:dyDescent="0.2">
      <c r="A65" s="7" t="str">
        <f t="shared" si="0"/>
        <v>220_A_post</v>
      </c>
      <c r="B65" s="7">
        <v>220</v>
      </c>
      <c r="C65" s="9" t="s">
        <v>1</v>
      </c>
      <c r="D65" s="7" t="s">
        <v>20</v>
      </c>
      <c r="E65" s="7" t="s">
        <v>4</v>
      </c>
      <c r="F65" s="7" t="s">
        <v>48</v>
      </c>
      <c r="G65" s="7" t="s">
        <v>26</v>
      </c>
      <c r="H65" s="7">
        <v>30</v>
      </c>
      <c r="I65" s="12">
        <v>63.6</v>
      </c>
      <c r="J65" s="12">
        <v>170.2</v>
      </c>
      <c r="K65" s="12">
        <v>21.955230661100995</v>
      </c>
      <c r="L65" s="12">
        <v>113.66666666666667</v>
      </c>
      <c r="M65" s="12">
        <v>72</v>
      </c>
      <c r="N65" s="2">
        <v>81</v>
      </c>
      <c r="O65" s="5">
        <v>4.5</v>
      </c>
      <c r="P65" s="2">
        <v>184</v>
      </c>
      <c r="Q65" s="2">
        <v>81</v>
      </c>
      <c r="R65" s="6">
        <v>94.2</v>
      </c>
      <c r="S65" s="5">
        <v>2.2716049382716048</v>
      </c>
      <c r="T65" s="2">
        <v>44</v>
      </c>
      <c r="U65" s="2">
        <v>103</v>
      </c>
    </row>
    <row r="66" spans="1:21" x14ac:dyDescent="0.2">
      <c r="A66" s="7" t="str">
        <f t="shared" si="0"/>
        <v>221_B_pre</v>
      </c>
      <c r="B66" s="7">
        <v>221</v>
      </c>
      <c r="C66" s="9" t="s">
        <v>2</v>
      </c>
      <c r="D66" s="7" t="s">
        <v>19</v>
      </c>
      <c r="E66" s="7" t="s">
        <v>1</v>
      </c>
      <c r="F66" s="7" t="s">
        <v>33</v>
      </c>
      <c r="G66" s="7" t="s">
        <v>27</v>
      </c>
      <c r="H66" s="7">
        <v>28</v>
      </c>
      <c r="I66" s="12">
        <v>90.3</v>
      </c>
      <c r="J66" s="12">
        <v>182.06666666666669</v>
      </c>
      <c r="K66" s="12">
        <v>27.241239730820208</v>
      </c>
      <c r="L66" s="12">
        <v>114.33333333333333</v>
      </c>
      <c r="M66" s="12">
        <v>76.666666666666671</v>
      </c>
      <c r="N66" s="2">
        <v>82</v>
      </c>
      <c r="O66" s="5">
        <v>4.7</v>
      </c>
      <c r="P66" s="2">
        <v>167</v>
      </c>
      <c r="Q66" s="2">
        <v>40</v>
      </c>
      <c r="R66" s="6">
        <v>117.6</v>
      </c>
      <c r="S66" s="5">
        <v>4.1749999999999998</v>
      </c>
      <c r="T66" s="2">
        <v>47</v>
      </c>
      <c r="U66" s="2">
        <v>127</v>
      </c>
    </row>
    <row r="67" spans="1:21" x14ac:dyDescent="0.2">
      <c r="A67" s="7" t="str">
        <f t="shared" ref="A67:A81" si="1">_xlfn.CONCAT(B67, "_",C67,"_",D67,)</f>
        <v>221_B_post</v>
      </c>
      <c r="B67" s="7">
        <v>221</v>
      </c>
      <c r="C67" s="9" t="s">
        <v>2</v>
      </c>
      <c r="D67" s="7" t="s">
        <v>20</v>
      </c>
      <c r="E67" s="7" t="s">
        <v>2</v>
      </c>
      <c r="F67" s="7" t="s">
        <v>40</v>
      </c>
      <c r="G67" s="7" t="s">
        <v>27</v>
      </c>
      <c r="H67" s="7">
        <v>28</v>
      </c>
      <c r="I67" s="12">
        <v>89.09999999999998</v>
      </c>
      <c r="J67" s="12">
        <v>181.9</v>
      </c>
      <c r="K67" s="12">
        <v>26.928508888976868</v>
      </c>
      <c r="L67" s="12">
        <v>114.66666666666667</v>
      </c>
      <c r="M67" s="12">
        <v>72</v>
      </c>
      <c r="N67" s="2">
        <v>98</v>
      </c>
      <c r="O67" s="5">
        <v>8.5</v>
      </c>
      <c r="P67" s="2">
        <v>165</v>
      </c>
      <c r="Q67" s="2">
        <v>40</v>
      </c>
      <c r="R67" s="6">
        <v>113.8</v>
      </c>
      <c r="S67" s="5">
        <v>4.125</v>
      </c>
      <c r="T67" s="2">
        <v>56</v>
      </c>
      <c r="U67" s="2">
        <v>125</v>
      </c>
    </row>
    <row r="68" spans="1:21" x14ac:dyDescent="0.2">
      <c r="A68" s="7" t="str">
        <f t="shared" si="1"/>
        <v>221_A_pre</v>
      </c>
      <c r="B68" s="7">
        <v>221</v>
      </c>
      <c r="C68" s="9" t="s">
        <v>1</v>
      </c>
      <c r="D68" s="7" t="s">
        <v>19</v>
      </c>
      <c r="E68" s="7" t="s">
        <v>3</v>
      </c>
      <c r="F68" s="7" t="s">
        <v>44</v>
      </c>
      <c r="G68" s="7" t="s">
        <v>27</v>
      </c>
      <c r="H68" s="7">
        <v>28</v>
      </c>
      <c r="I68" s="12">
        <v>89.2</v>
      </c>
      <c r="J68" s="12">
        <v>182.1</v>
      </c>
      <c r="K68" s="12">
        <v>26.899546778824512</v>
      </c>
      <c r="L68" s="12">
        <v>113.66666666666667</v>
      </c>
      <c r="M68" s="12">
        <v>72.333333333333329</v>
      </c>
      <c r="N68" s="2">
        <v>81</v>
      </c>
      <c r="O68" s="5">
        <v>3.6</v>
      </c>
      <c r="P68" s="2">
        <v>178</v>
      </c>
      <c r="Q68" s="2">
        <v>44</v>
      </c>
      <c r="R68" s="6">
        <v>123.8</v>
      </c>
      <c r="S68" s="5">
        <v>4.0454545454545459</v>
      </c>
      <c r="T68" s="2">
        <v>51</v>
      </c>
      <c r="U68" s="2">
        <v>134</v>
      </c>
    </row>
    <row r="69" spans="1:21" x14ac:dyDescent="0.2">
      <c r="A69" s="7" t="str">
        <f t="shared" si="1"/>
        <v>221_A_post</v>
      </c>
      <c r="B69" s="7">
        <v>221</v>
      </c>
      <c r="C69" s="9" t="s">
        <v>1</v>
      </c>
      <c r="D69" s="7" t="s">
        <v>20</v>
      </c>
      <c r="E69" s="7" t="s">
        <v>4</v>
      </c>
      <c r="F69" s="7" t="s">
        <v>48</v>
      </c>
      <c r="G69" s="7" t="s">
        <v>27</v>
      </c>
      <c r="H69" s="7">
        <v>28</v>
      </c>
      <c r="I69" s="12">
        <v>89.59999999999998</v>
      </c>
      <c r="J69" s="12">
        <v>182.46666666666667</v>
      </c>
      <c r="K69" s="12">
        <v>26.911687615110534</v>
      </c>
      <c r="L69" s="12">
        <v>113.33333333333333</v>
      </c>
      <c r="M69" s="12">
        <v>70</v>
      </c>
      <c r="N69" s="2">
        <v>80</v>
      </c>
      <c r="O69" s="5">
        <v>3.8</v>
      </c>
      <c r="P69" s="2">
        <v>178</v>
      </c>
      <c r="Q69" s="2">
        <v>43</v>
      </c>
      <c r="R69" s="6">
        <v>129</v>
      </c>
      <c r="S69" s="5">
        <v>4.1395348837209305</v>
      </c>
      <c r="T69" s="2">
        <v>30</v>
      </c>
      <c r="U69" s="2">
        <v>135</v>
      </c>
    </row>
    <row r="70" spans="1:21" x14ac:dyDescent="0.2">
      <c r="A70" s="7" t="str">
        <f t="shared" si="1"/>
        <v>222_A_pre</v>
      </c>
      <c r="B70" s="7">
        <v>222</v>
      </c>
      <c r="C70" s="7" t="s">
        <v>1</v>
      </c>
      <c r="D70" s="7" t="s">
        <v>19</v>
      </c>
      <c r="E70" s="7" t="s">
        <v>1</v>
      </c>
      <c r="F70" s="7" t="s">
        <v>33</v>
      </c>
      <c r="G70" s="7" t="s">
        <v>26</v>
      </c>
      <c r="H70" s="7">
        <v>23</v>
      </c>
      <c r="I70" s="12">
        <v>74.233333333333334</v>
      </c>
      <c r="J70" s="12">
        <v>159.80000000000001</v>
      </c>
      <c r="K70" s="12">
        <v>29.070025475106291</v>
      </c>
      <c r="L70" s="12">
        <v>116.33333333333333</v>
      </c>
      <c r="M70" s="12">
        <v>81</v>
      </c>
      <c r="N70" s="2">
        <v>91</v>
      </c>
      <c r="O70" s="5">
        <v>7.4</v>
      </c>
      <c r="P70" s="2">
        <v>155</v>
      </c>
      <c r="Q70" s="2">
        <v>54</v>
      </c>
      <c r="R70" s="6">
        <v>93.2</v>
      </c>
      <c r="S70" s="5">
        <v>2.8703703703703702</v>
      </c>
      <c r="T70" s="2">
        <v>39</v>
      </c>
      <c r="U70" s="2">
        <v>101</v>
      </c>
    </row>
    <row r="71" spans="1:21" x14ac:dyDescent="0.2">
      <c r="A71" s="7" t="str">
        <f t="shared" si="1"/>
        <v>222_A_post</v>
      </c>
      <c r="B71" s="7">
        <v>222</v>
      </c>
      <c r="C71" s="7" t="s">
        <v>1</v>
      </c>
      <c r="D71" s="7" t="s">
        <v>20</v>
      </c>
      <c r="E71" s="7" t="s">
        <v>2</v>
      </c>
      <c r="F71" s="7" t="s">
        <v>40</v>
      </c>
      <c r="G71" s="7" t="s">
        <v>26</v>
      </c>
      <c r="H71" s="7">
        <v>23</v>
      </c>
      <c r="I71" s="12">
        <v>73.599999999999994</v>
      </c>
      <c r="J71" s="12">
        <v>162.66666666666666</v>
      </c>
      <c r="K71" s="12">
        <v>27.815103466810001</v>
      </c>
      <c r="L71" s="12">
        <v>117.66666666666667</v>
      </c>
      <c r="M71" s="12">
        <v>78.333333333333329</v>
      </c>
      <c r="N71" s="2">
        <v>95</v>
      </c>
      <c r="O71" s="5">
        <v>8.3000000000000007</v>
      </c>
      <c r="P71" s="2">
        <v>157</v>
      </c>
      <c r="Q71" s="2">
        <v>59</v>
      </c>
      <c r="R71" s="6">
        <v>88</v>
      </c>
      <c r="S71" s="5">
        <v>2.6610169491525424</v>
      </c>
      <c r="T71" s="2">
        <v>50</v>
      </c>
      <c r="U71" s="2">
        <v>98</v>
      </c>
    </row>
    <row r="72" spans="1:21" x14ac:dyDescent="0.2">
      <c r="A72" s="7" t="str">
        <f t="shared" si="1"/>
        <v>222_B_pre</v>
      </c>
      <c r="B72" s="7">
        <v>222</v>
      </c>
      <c r="C72" s="7" t="s">
        <v>2</v>
      </c>
      <c r="D72" s="7" t="s">
        <v>19</v>
      </c>
      <c r="E72" s="7" t="s">
        <v>3</v>
      </c>
      <c r="F72" s="7" t="s">
        <v>44</v>
      </c>
      <c r="G72" s="7" t="s">
        <v>26</v>
      </c>
      <c r="H72" s="7">
        <v>23</v>
      </c>
      <c r="I72" s="12">
        <v>74.7</v>
      </c>
      <c r="J72" s="12">
        <v>162.26666666666668</v>
      </c>
      <c r="K72" s="12">
        <v>28.370172217874821</v>
      </c>
      <c r="L72" s="12">
        <v>110.33333333333333</v>
      </c>
      <c r="M72" s="12">
        <v>73.666666666666671</v>
      </c>
      <c r="N72" s="2">
        <v>81</v>
      </c>
      <c r="O72" s="5">
        <v>7.4</v>
      </c>
      <c r="P72" s="2">
        <v>193</v>
      </c>
      <c r="Q72" s="2">
        <v>62</v>
      </c>
      <c r="R72" s="6">
        <v>105.6</v>
      </c>
      <c r="S72" s="5">
        <v>3.1129032258064515</v>
      </c>
      <c r="T72" s="2">
        <v>127</v>
      </c>
      <c r="U72" s="2">
        <v>131</v>
      </c>
    </row>
    <row r="73" spans="1:21" x14ac:dyDescent="0.2">
      <c r="A73" s="7" t="str">
        <f t="shared" si="1"/>
        <v>222_B_post</v>
      </c>
      <c r="B73" s="7">
        <v>222</v>
      </c>
      <c r="C73" s="7" t="s">
        <v>2</v>
      </c>
      <c r="D73" s="7" t="s">
        <v>20</v>
      </c>
      <c r="E73" s="7" t="s">
        <v>4</v>
      </c>
      <c r="F73" s="7" t="s">
        <v>48</v>
      </c>
      <c r="G73" s="7" t="s">
        <v>26</v>
      </c>
      <c r="H73" s="7">
        <v>23</v>
      </c>
      <c r="I73" s="12">
        <v>74.8</v>
      </c>
      <c r="J73" s="12">
        <v>161.6</v>
      </c>
      <c r="K73" s="12">
        <v>28.643025193608473</v>
      </c>
      <c r="L73" s="12">
        <v>112</v>
      </c>
      <c r="M73" s="12">
        <v>75</v>
      </c>
      <c r="N73" s="2">
        <v>92</v>
      </c>
      <c r="O73" s="5">
        <v>9.1</v>
      </c>
      <c r="P73" s="2">
        <v>194</v>
      </c>
      <c r="Q73" s="2">
        <v>67</v>
      </c>
      <c r="R73" s="6">
        <v>117</v>
      </c>
      <c r="S73" s="5">
        <v>2.8955223880597014</v>
      </c>
      <c r="T73" s="2">
        <v>50</v>
      </c>
      <c r="U73" s="2">
        <v>127</v>
      </c>
    </row>
    <row r="74" spans="1:21" x14ac:dyDescent="0.2">
      <c r="A74" s="7" t="str">
        <f t="shared" si="1"/>
        <v>223_A_pre</v>
      </c>
      <c r="B74" s="7">
        <v>223</v>
      </c>
      <c r="C74" s="7" t="s">
        <v>1</v>
      </c>
      <c r="D74" s="7" t="s">
        <v>19</v>
      </c>
      <c r="E74" s="7" t="s">
        <v>1</v>
      </c>
      <c r="F74" s="7" t="s">
        <v>33</v>
      </c>
      <c r="G74" s="7" t="s">
        <v>27</v>
      </c>
      <c r="H74" s="7">
        <v>25</v>
      </c>
      <c r="I74" s="12">
        <v>78.266666666666666</v>
      </c>
      <c r="J74" s="12">
        <v>175.4</v>
      </c>
      <c r="K74" s="12">
        <v>25.440032382950932</v>
      </c>
      <c r="L74" s="12">
        <v>121.33333333333333</v>
      </c>
      <c r="M74" s="12">
        <v>74.666666666666671</v>
      </c>
      <c r="N74" s="2">
        <v>95</v>
      </c>
      <c r="O74" s="5">
        <v>5.0999999999999996</v>
      </c>
      <c r="P74" s="2">
        <v>166</v>
      </c>
      <c r="Q74" s="2">
        <v>51</v>
      </c>
      <c r="R74" s="6">
        <v>104</v>
      </c>
      <c r="S74" s="5">
        <v>3.2549019607843137</v>
      </c>
      <c r="T74" s="2">
        <v>55</v>
      </c>
      <c r="U74" s="2">
        <v>115</v>
      </c>
    </row>
    <row r="75" spans="1:21" x14ac:dyDescent="0.2">
      <c r="A75" s="7" t="str">
        <f t="shared" si="1"/>
        <v>223_A_post</v>
      </c>
      <c r="B75" s="7">
        <v>223</v>
      </c>
      <c r="C75" s="7" t="s">
        <v>1</v>
      </c>
      <c r="D75" s="7" t="s">
        <v>20</v>
      </c>
      <c r="E75" s="7" t="s">
        <v>2</v>
      </c>
      <c r="F75" s="7" t="s">
        <v>40</v>
      </c>
      <c r="G75" s="7" t="s">
        <v>27</v>
      </c>
      <c r="H75" s="7">
        <v>25</v>
      </c>
      <c r="I75" s="12">
        <v>78.5</v>
      </c>
      <c r="J75" s="12">
        <v>175.83333333333334</v>
      </c>
      <c r="K75" s="12">
        <v>25.390265268075733</v>
      </c>
      <c r="L75" s="12">
        <v>126.33333333333333</v>
      </c>
      <c r="M75" s="12">
        <v>76.666666666666671</v>
      </c>
      <c r="N75" s="2">
        <v>87</v>
      </c>
      <c r="O75" s="5">
        <v>5</v>
      </c>
      <c r="P75" s="2">
        <v>164</v>
      </c>
      <c r="Q75" s="2">
        <v>59</v>
      </c>
      <c r="R75" s="6">
        <v>92.6</v>
      </c>
      <c r="S75" s="5">
        <v>2.7796610169491527</v>
      </c>
      <c r="T75" s="2">
        <v>62</v>
      </c>
      <c r="U75" s="2">
        <v>105</v>
      </c>
    </row>
    <row r="76" spans="1:21" x14ac:dyDescent="0.2">
      <c r="A76" s="7" t="str">
        <f t="shared" si="1"/>
        <v>223_B_pre</v>
      </c>
      <c r="B76" s="7">
        <v>223</v>
      </c>
      <c r="C76" s="7" t="s">
        <v>2</v>
      </c>
      <c r="D76" s="7" t="s">
        <v>19</v>
      </c>
      <c r="E76" s="7" t="s">
        <v>3</v>
      </c>
      <c r="F76" s="7" t="s">
        <v>44</v>
      </c>
      <c r="G76" s="7" t="s">
        <v>27</v>
      </c>
      <c r="H76" s="7">
        <v>25</v>
      </c>
      <c r="I76" s="12">
        <v>77.7</v>
      </c>
      <c r="J76" s="12">
        <v>176</v>
      </c>
      <c r="K76" s="12">
        <v>25.083935950413224</v>
      </c>
      <c r="L76" s="12">
        <v>121.33333333333333</v>
      </c>
      <c r="M76" s="12">
        <v>72</v>
      </c>
      <c r="N76" s="2">
        <v>84</v>
      </c>
      <c r="O76" s="5">
        <v>4</v>
      </c>
      <c r="P76" s="2">
        <v>179</v>
      </c>
      <c r="Q76" s="2">
        <v>56</v>
      </c>
      <c r="R76" s="6">
        <v>110.4</v>
      </c>
      <c r="S76" s="5">
        <v>3.1964285714285716</v>
      </c>
      <c r="T76" s="2">
        <v>63</v>
      </c>
      <c r="U76" s="2">
        <v>123</v>
      </c>
    </row>
    <row r="77" spans="1:21" x14ac:dyDescent="0.2">
      <c r="A77" s="7" t="str">
        <f t="shared" si="1"/>
        <v>223_B_post</v>
      </c>
      <c r="B77" s="7">
        <v>223</v>
      </c>
      <c r="C77" s="7" t="s">
        <v>2</v>
      </c>
      <c r="D77" s="7" t="s">
        <v>20</v>
      </c>
      <c r="E77" s="7" t="s">
        <v>4</v>
      </c>
      <c r="F77" s="7" t="s">
        <v>48</v>
      </c>
      <c r="G77" s="7" t="s">
        <v>27</v>
      </c>
      <c r="H77" s="7">
        <v>25</v>
      </c>
      <c r="I77" s="12">
        <v>77.5</v>
      </c>
      <c r="J77" s="12">
        <v>176</v>
      </c>
      <c r="K77" s="12">
        <v>25.019369834710744</v>
      </c>
      <c r="L77" s="12">
        <v>123.33333333333333</v>
      </c>
      <c r="M77" s="12">
        <v>75</v>
      </c>
      <c r="N77" s="2">
        <v>78</v>
      </c>
      <c r="O77" s="5">
        <v>3.1</v>
      </c>
      <c r="P77" s="2">
        <v>180</v>
      </c>
      <c r="Q77" s="2">
        <v>61</v>
      </c>
      <c r="R77" s="6">
        <v>109.2</v>
      </c>
      <c r="S77" s="5">
        <v>2.9508196721311477</v>
      </c>
      <c r="T77" s="2">
        <v>49</v>
      </c>
      <c r="U77" s="2">
        <v>119</v>
      </c>
    </row>
    <row r="78" spans="1:21" x14ac:dyDescent="0.2">
      <c r="A78" s="7" t="str">
        <f t="shared" si="1"/>
        <v>224_A_pre</v>
      </c>
      <c r="B78" s="7">
        <v>224</v>
      </c>
      <c r="C78" s="7" t="s">
        <v>1</v>
      </c>
      <c r="D78" s="7" t="s">
        <v>19</v>
      </c>
      <c r="E78" s="7" t="s">
        <v>1</v>
      </c>
      <c r="F78" s="7" t="s">
        <v>33</v>
      </c>
      <c r="G78" s="7" t="s">
        <v>27</v>
      </c>
      <c r="H78" s="7">
        <v>27</v>
      </c>
      <c r="I78" s="12">
        <v>75.099999999999994</v>
      </c>
      <c r="J78" s="12">
        <v>170.5</v>
      </c>
      <c r="K78" s="12">
        <v>25.833971156078803</v>
      </c>
      <c r="L78" s="12">
        <v>106</v>
      </c>
      <c r="M78" s="12">
        <v>70.666666666666671</v>
      </c>
      <c r="N78" s="2">
        <v>89</v>
      </c>
      <c r="O78" s="5">
        <v>2.1</v>
      </c>
      <c r="P78" s="2">
        <v>194</v>
      </c>
      <c r="Q78" s="2">
        <v>47</v>
      </c>
      <c r="R78" s="6">
        <v>136</v>
      </c>
      <c r="S78" s="5">
        <v>4.1276595744680851</v>
      </c>
      <c r="T78" s="2">
        <v>55</v>
      </c>
      <c r="U78" s="2">
        <v>147</v>
      </c>
    </row>
    <row r="79" spans="1:21" x14ac:dyDescent="0.2">
      <c r="A79" s="7" t="str">
        <f t="shared" si="1"/>
        <v>224_A_post</v>
      </c>
      <c r="B79" s="7">
        <v>224</v>
      </c>
      <c r="C79" s="7" t="s">
        <v>1</v>
      </c>
      <c r="D79" s="7" t="s">
        <v>20</v>
      </c>
      <c r="E79" s="7" t="s">
        <v>2</v>
      </c>
      <c r="F79" s="7" t="s">
        <v>40</v>
      </c>
      <c r="G79" s="7" t="s">
        <v>27</v>
      </c>
      <c r="H79" s="7">
        <v>27</v>
      </c>
      <c r="I79" s="12">
        <v>74.8</v>
      </c>
      <c r="J79" s="12">
        <v>170.7</v>
      </c>
      <c r="K79" s="12">
        <v>25.670513468611453</v>
      </c>
      <c r="L79" s="12">
        <v>113.33333333333333</v>
      </c>
      <c r="M79" s="12">
        <v>73</v>
      </c>
      <c r="N79" s="2">
        <v>90</v>
      </c>
      <c r="O79" s="5">
        <v>4.5999999999999996</v>
      </c>
      <c r="P79" s="2">
        <v>178</v>
      </c>
      <c r="Q79" s="2">
        <v>47</v>
      </c>
      <c r="R79" s="6">
        <v>114.6</v>
      </c>
      <c r="S79" s="5">
        <v>3.7872340425531914</v>
      </c>
      <c r="T79" s="2">
        <v>82</v>
      </c>
      <c r="U79" s="2">
        <v>131</v>
      </c>
    </row>
    <row r="80" spans="1:21" x14ac:dyDescent="0.2">
      <c r="A80" s="7" t="str">
        <f t="shared" si="1"/>
        <v>224_B_pre</v>
      </c>
      <c r="B80" s="7">
        <v>224</v>
      </c>
      <c r="C80" s="7" t="s">
        <v>2</v>
      </c>
      <c r="D80" s="7" t="s">
        <v>19</v>
      </c>
      <c r="E80" s="7" t="s">
        <v>3</v>
      </c>
      <c r="F80" s="7" t="s">
        <v>44</v>
      </c>
      <c r="G80" s="7" t="s">
        <v>27</v>
      </c>
      <c r="H80" s="7">
        <v>27</v>
      </c>
      <c r="I80" s="12">
        <v>73.066666666666663</v>
      </c>
      <c r="J80" s="12">
        <v>170.6</v>
      </c>
      <c r="K80" s="12">
        <v>25.105058715143254</v>
      </c>
      <c r="L80" s="12">
        <v>107.33333333333333</v>
      </c>
      <c r="M80" s="12">
        <v>72</v>
      </c>
      <c r="N80" s="2">
        <v>92</v>
      </c>
      <c r="O80" s="5">
        <v>3.4</v>
      </c>
      <c r="P80" s="2">
        <v>193</v>
      </c>
      <c r="Q80" s="2">
        <v>48</v>
      </c>
      <c r="R80" s="6">
        <v>134.80000000000001</v>
      </c>
      <c r="S80" s="5">
        <v>4.020833333333333</v>
      </c>
      <c r="T80" s="2">
        <v>51</v>
      </c>
      <c r="U80" s="2">
        <v>145</v>
      </c>
    </row>
    <row r="81" spans="1:21" x14ac:dyDescent="0.2">
      <c r="A81" s="7" t="str">
        <f t="shared" si="1"/>
        <v>224_B_post</v>
      </c>
      <c r="B81" s="7">
        <v>224</v>
      </c>
      <c r="C81" s="7" t="s">
        <v>2</v>
      </c>
      <c r="D81" s="7" t="s">
        <v>20</v>
      </c>
      <c r="E81" s="7" t="s">
        <v>4</v>
      </c>
      <c r="F81" s="7" t="s">
        <v>48</v>
      </c>
      <c r="G81" s="7" t="s">
        <v>27</v>
      </c>
      <c r="H81" s="7">
        <v>27</v>
      </c>
      <c r="I81" s="12">
        <v>73.150000000000006</v>
      </c>
      <c r="J81" s="12">
        <v>170.8</v>
      </c>
      <c r="K81" s="12">
        <v>25.074864667716046</v>
      </c>
      <c r="L81" s="12">
        <v>105.66666666666667</v>
      </c>
      <c r="M81" s="12">
        <v>69.333333333333329</v>
      </c>
      <c r="N81" s="2">
        <v>101</v>
      </c>
      <c r="O81" s="5">
        <v>3.5</v>
      </c>
      <c r="P81" s="2">
        <v>178</v>
      </c>
      <c r="Q81" s="2">
        <v>45</v>
      </c>
      <c r="R81" s="6">
        <v>121.4</v>
      </c>
      <c r="S81" s="5">
        <v>3.9555555555555557</v>
      </c>
      <c r="T81" s="2">
        <v>58</v>
      </c>
      <c r="U81" s="2">
        <v>133</v>
      </c>
    </row>
  </sheetData>
  <autoFilter ref="A1:U81" xr:uid="{E6E6E443-8BFC-2E43-9C36-15133BEECD2C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5B9333-BD03-C243-85EB-26D18F183969}">
  <dimension ref="A1:DG101"/>
  <sheetViews>
    <sheetView zoomScale="120" zoomScaleNormal="120" workbookViewId="0"/>
  </sheetViews>
  <sheetFormatPr baseColWidth="10" defaultRowHeight="16" x14ac:dyDescent="0.2"/>
  <cols>
    <col min="2" max="2" width="12.6640625" bestFit="1" customWidth="1"/>
  </cols>
  <sheetData>
    <row r="1" spans="1:111" x14ac:dyDescent="0.2">
      <c r="B1" t="s">
        <v>32</v>
      </c>
      <c r="C1" s="14" t="s">
        <v>34</v>
      </c>
      <c r="D1" s="14" t="s">
        <v>39</v>
      </c>
      <c r="E1" s="14" t="s">
        <v>41</v>
      </c>
      <c r="F1" s="14" t="s">
        <v>43</v>
      </c>
      <c r="G1" s="14" t="s">
        <v>45</v>
      </c>
      <c r="H1" s="14" t="s">
        <v>47</v>
      </c>
      <c r="I1" s="14" t="s">
        <v>49</v>
      </c>
      <c r="L1">
        <v>201</v>
      </c>
      <c r="Q1">
        <v>202</v>
      </c>
      <c r="V1">
        <v>203</v>
      </c>
      <c r="AA1">
        <v>204</v>
      </c>
      <c r="AF1">
        <v>205</v>
      </c>
      <c r="AK1">
        <v>206</v>
      </c>
      <c r="AP1">
        <v>208</v>
      </c>
      <c r="AU1">
        <v>209</v>
      </c>
      <c r="AZ1">
        <v>210</v>
      </c>
      <c r="BE1">
        <v>211</v>
      </c>
      <c r="BJ1">
        <v>213</v>
      </c>
      <c r="BO1">
        <v>214</v>
      </c>
      <c r="BT1">
        <v>215</v>
      </c>
      <c r="BY1">
        <v>216</v>
      </c>
      <c r="CD1">
        <v>218</v>
      </c>
      <c r="CI1">
        <v>220</v>
      </c>
      <c r="CN1">
        <v>221</v>
      </c>
      <c r="CS1">
        <v>222</v>
      </c>
      <c r="CX1">
        <v>223</v>
      </c>
      <c r="DC1">
        <v>224</v>
      </c>
    </row>
    <row r="2" spans="1:111" x14ac:dyDescent="0.2">
      <c r="A2">
        <v>201</v>
      </c>
      <c r="B2" t="s">
        <v>35</v>
      </c>
      <c r="C2" s="12">
        <v>62.6</v>
      </c>
      <c r="D2" s="12">
        <v>61.6</v>
      </c>
      <c r="E2" s="12">
        <v>59.79999999999999</v>
      </c>
      <c r="F2" s="12">
        <v>60.1</v>
      </c>
      <c r="G2" s="12">
        <v>59.79999999999999</v>
      </c>
      <c r="H2" s="12">
        <v>60.79999999999999</v>
      </c>
      <c r="I2" s="12">
        <v>61.1</v>
      </c>
      <c r="K2" t="s">
        <v>32</v>
      </c>
      <c r="L2" t="s">
        <v>35</v>
      </c>
      <c r="M2" t="s">
        <v>36</v>
      </c>
      <c r="N2" t="s">
        <v>37</v>
      </c>
      <c r="O2" t="s">
        <v>51</v>
      </c>
      <c r="P2" t="s">
        <v>50</v>
      </c>
      <c r="Q2" t="s">
        <v>35</v>
      </c>
      <c r="R2" t="s">
        <v>36</v>
      </c>
      <c r="S2" t="s">
        <v>37</v>
      </c>
      <c r="T2" t="s">
        <v>51</v>
      </c>
      <c r="U2" t="s">
        <v>50</v>
      </c>
      <c r="V2" t="s">
        <v>35</v>
      </c>
      <c r="W2" t="s">
        <v>36</v>
      </c>
      <c r="X2" t="s">
        <v>37</v>
      </c>
      <c r="Y2" t="s">
        <v>51</v>
      </c>
      <c r="Z2" t="s">
        <v>50</v>
      </c>
      <c r="AA2" t="s">
        <v>35</v>
      </c>
      <c r="AB2" t="s">
        <v>36</v>
      </c>
      <c r="AC2" t="s">
        <v>37</v>
      </c>
      <c r="AD2" t="s">
        <v>51</v>
      </c>
      <c r="AE2" t="s">
        <v>50</v>
      </c>
      <c r="AF2" t="s">
        <v>35</v>
      </c>
      <c r="AG2" t="s">
        <v>36</v>
      </c>
      <c r="AH2" t="s">
        <v>37</v>
      </c>
      <c r="AI2" t="s">
        <v>51</v>
      </c>
      <c r="AJ2" t="s">
        <v>50</v>
      </c>
      <c r="AK2" t="s">
        <v>35</v>
      </c>
      <c r="AL2" t="s">
        <v>36</v>
      </c>
      <c r="AM2" t="s">
        <v>37</v>
      </c>
      <c r="AN2" t="s">
        <v>51</v>
      </c>
      <c r="AO2" t="s">
        <v>50</v>
      </c>
      <c r="AP2" t="s">
        <v>35</v>
      </c>
      <c r="AQ2" t="s">
        <v>36</v>
      </c>
      <c r="AR2" t="s">
        <v>37</v>
      </c>
      <c r="AS2" t="s">
        <v>51</v>
      </c>
      <c r="AT2" t="s">
        <v>50</v>
      </c>
      <c r="AU2" t="s">
        <v>35</v>
      </c>
      <c r="AV2" t="s">
        <v>36</v>
      </c>
      <c r="AW2" t="s">
        <v>37</v>
      </c>
      <c r="AX2" t="s">
        <v>51</v>
      </c>
      <c r="AY2" t="s">
        <v>50</v>
      </c>
      <c r="AZ2" t="s">
        <v>35</v>
      </c>
      <c r="BA2" t="s">
        <v>36</v>
      </c>
      <c r="BB2" t="s">
        <v>37</v>
      </c>
      <c r="BC2" t="s">
        <v>51</v>
      </c>
      <c r="BD2" t="s">
        <v>50</v>
      </c>
      <c r="BE2" t="s">
        <v>35</v>
      </c>
      <c r="BF2" t="s">
        <v>36</v>
      </c>
      <c r="BG2" t="s">
        <v>37</v>
      </c>
      <c r="BH2" t="s">
        <v>51</v>
      </c>
      <c r="BI2" t="s">
        <v>50</v>
      </c>
      <c r="BJ2" t="s">
        <v>35</v>
      </c>
      <c r="BK2" t="s">
        <v>36</v>
      </c>
      <c r="BL2" t="s">
        <v>37</v>
      </c>
      <c r="BM2" t="s">
        <v>51</v>
      </c>
      <c r="BN2" t="s">
        <v>50</v>
      </c>
      <c r="BO2" t="s">
        <v>35</v>
      </c>
      <c r="BP2" t="s">
        <v>36</v>
      </c>
      <c r="BQ2" t="s">
        <v>37</v>
      </c>
      <c r="BR2" t="s">
        <v>51</v>
      </c>
      <c r="BS2" t="s">
        <v>50</v>
      </c>
      <c r="BT2" t="s">
        <v>35</v>
      </c>
      <c r="BU2" t="s">
        <v>36</v>
      </c>
      <c r="BV2" t="s">
        <v>37</v>
      </c>
      <c r="BW2" t="s">
        <v>51</v>
      </c>
      <c r="BX2" t="s">
        <v>50</v>
      </c>
      <c r="BY2" t="s">
        <v>35</v>
      </c>
      <c r="BZ2" t="s">
        <v>36</v>
      </c>
      <c r="CA2" t="s">
        <v>37</v>
      </c>
      <c r="CB2" t="s">
        <v>51</v>
      </c>
      <c r="CC2" t="s">
        <v>50</v>
      </c>
      <c r="CD2" t="s">
        <v>35</v>
      </c>
      <c r="CE2" t="s">
        <v>36</v>
      </c>
      <c r="CF2" t="s">
        <v>37</v>
      </c>
      <c r="CG2" t="s">
        <v>51</v>
      </c>
      <c r="CH2" t="s">
        <v>50</v>
      </c>
      <c r="CI2" t="s">
        <v>35</v>
      </c>
      <c r="CJ2" t="s">
        <v>36</v>
      </c>
      <c r="CK2" t="s">
        <v>37</v>
      </c>
      <c r="CL2" t="s">
        <v>51</v>
      </c>
      <c r="CM2" t="s">
        <v>50</v>
      </c>
      <c r="CN2" t="s">
        <v>35</v>
      </c>
      <c r="CO2" t="s">
        <v>36</v>
      </c>
      <c r="CP2" t="s">
        <v>37</v>
      </c>
      <c r="CQ2" t="s">
        <v>51</v>
      </c>
      <c r="CR2" t="s">
        <v>50</v>
      </c>
      <c r="CS2" t="s">
        <v>35</v>
      </c>
      <c r="CT2" t="s">
        <v>36</v>
      </c>
      <c r="CU2" t="s">
        <v>37</v>
      </c>
      <c r="CV2" t="s">
        <v>51</v>
      </c>
      <c r="CW2" t="s">
        <v>50</v>
      </c>
      <c r="CX2" t="s">
        <v>35</v>
      </c>
      <c r="CY2" t="s">
        <v>36</v>
      </c>
      <c r="CZ2" t="s">
        <v>37</v>
      </c>
      <c r="DA2" t="s">
        <v>51</v>
      </c>
      <c r="DB2" t="s">
        <v>50</v>
      </c>
      <c r="DC2" t="s">
        <v>35</v>
      </c>
      <c r="DD2" t="s">
        <v>36</v>
      </c>
      <c r="DE2" t="s">
        <v>37</v>
      </c>
      <c r="DF2" t="s">
        <v>51</v>
      </c>
      <c r="DG2" t="s">
        <v>50</v>
      </c>
    </row>
    <row r="3" spans="1:111" x14ac:dyDescent="0.2">
      <c r="B3" t="s">
        <v>36</v>
      </c>
      <c r="C3" s="12">
        <v>165.13333333333333</v>
      </c>
      <c r="D3" s="12">
        <v>163.69999999999999</v>
      </c>
      <c r="E3" s="12">
        <v>165.6</v>
      </c>
      <c r="F3" s="12">
        <v>164.1</v>
      </c>
      <c r="G3" s="12">
        <v>164.3</v>
      </c>
      <c r="H3" s="12">
        <v>164.1</v>
      </c>
      <c r="I3" s="12">
        <v>164</v>
      </c>
      <c r="K3" s="14" t="s">
        <v>34</v>
      </c>
      <c r="L3" s="12">
        <v>62.6</v>
      </c>
      <c r="M3" s="12">
        <v>165.13333333333333</v>
      </c>
      <c r="N3" s="12">
        <v>22.95645575141117</v>
      </c>
      <c r="O3" s="12">
        <v>115</v>
      </c>
      <c r="P3" s="12">
        <v>75.333333333333329</v>
      </c>
      <c r="Q3" s="12">
        <v>85.866666666666674</v>
      </c>
      <c r="R3" s="12">
        <v>177.1</v>
      </c>
      <c r="S3" s="12">
        <v>27.377102475916711</v>
      </c>
      <c r="T3" s="12">
        <v>96.666666666666671</v>
      </c>
      <c r="U3" s="12">
        <v>60.333333333333336</v>
      </c>
      <c r="V3" s="12">
        <v>56</v>
      </c>
      <c r="W3" s="12">
        <v>160</v>
      </c>
      <c r="X3" s="12">
        <v>21.874999999999996</v>
      </c>
      <c r="Y3" s="12">
        <v>113.66666666666667</v>
      </c>
      <c r="Z3" s="12">
        <v>71</v>
      </c>
      <c r="AA3" s="12">
        <v>77.783333333333346</v>
      </c>
      <c r="AB3" s="12">
        <v>170.6</v>
      </c>
      <c r="AC3" s="12">
        <v>26.725663554647259</v>
      </c>
      <c r="AD3" s="12">
        <v>113.66666666666667</v>
      </c>
      <c r="AE3" s="12">
        <v>73.333333333333329</v>
      </c>
      <c r="AF3" s="12">
        <v>73.86666666666666</v>
      </c>
      <c r="AG3" s="12">
        <v>173.7</v>
      </c>
      <c r="AH3" s="12">
        <v>24.482111100394665</v>
      </c>
      <c r="AI3" s="12">
        <v>120.66666666666667</v>
      </c>
      <c r="AJ3" s="12">
        <v>80</v>
      </c>
      <c r="AK3" s="12">
        <v>77.8</v>
      </c>
      <c r="AL3" s="12">
        <v>180</v>
      </c>
      <c r="AM3" s="12">
        <v>24.012345679012345</v>
      </c>
      <c r="AN3" s="12">
        <v>124</v>
      </c>
      <c r="AO3" s="12">
        <v>70.666666666666671</v>
      </c>
      <c r="AP3" s="12">
        <v>88.433333333333337</v>
      </c>
      <c r="AQ3" s="12">
        <v>170.9</v>
      </c>
      <c r="AR3" s="12">
        <v>30.27832664140087</v>
      </c>
      <c r="AS3" s="12">
        <v>120</v>
      </c>
      <c r="AT3" s="12">
        <v>74.666666666666671</v>
      </c>
      <c r="AU3" s="12">
        <v>59.4</v>
      </c>
      <c r="AV3" s="12">
        <v>152.6</v>
      </c>
      <c r="AW3" s="12">
        <v>25.508056938792684</v>
      </c>
      <c r="AX3" s="12">
        <v>110.33333333333333</v>
      </c>
      <c r="AY3" s="12">
        <v>75.666666666666671</v>
      </c>
      <c r="AZ3" s="12">
        <v>76.7</v>
      </c>
      <c r="BA3" s="12">
        <v>154.19999999999999</v>
      </c>
      <c r="BB3" s="12">
        <v>32.257196256651213</v>
      </c>
      <c r="BC3" s="12">
        <v>127.66666666666667</v>
      </c>
      <c r="BD3" s="12">
        <v>82.666666666666671</v>
      </c>
      <c r="BE3" s="12">
        <v>64.066666666666663</v>
      </c>
      <c r="BF3" s="12">
        <v>160.5</v>
      </c>
      <c r="BG3" s="12">
        <v>24.870359048016486</v>
      </c>
      <c r="BH3" s="12">
        <v>112.33333333333333</v>
      </c>
      <c r="BI3" s="12">
        <v>74</v>
      </c>
      <c r="BJ3" s="12">
        <v>86.433333333333337</v>
      </c>
      <c r="BK3" s="12">
        <v>188.19999999999996</v>
      </c>
      <c r="BL3" s="12">
        <v>24.402932793965473</v>
      </c>
      <c r="BM3" s="12">
        <v>107</v>
      </c>
      <c r="BN3" s="12">
        <v>69.333333333333329</v>
      </c>
      <c r="BO3" s="12">
        <v>75.8</v>
      </c>
      <c r="BP3" s="12">
        <v>165.1</v>
      </c>
      <c r="BQ3" s="12">
        <v>27.808339640347917</v>
      </c>
      <c r="BR3" s="12">
        <v>121.33333333333333</v>
      </c>
      <c r="BS3" s="12">
        <v>84.666666666666671</v>
      </c>
      <c r="BT3" s="12">
        <v>67</v>
      </c>
      <c r="BU3" s="12">
        <v>166.46666666666667</v>
      </c>
      <c r="BV3" s="12">
        <v>24.177992365367874</v>
      </c>
      <c r="BW3" s="12">
        <v>108</v>
      </c>
      <c r="BX3" s="12">
        <v>73.666666666666671</v>
      </c>
      <c r="BY3" s="12">
        <v>88.90000000000002</v>
      </c>
      <c r="BZ3" s="12">
        <v>173.19999999999996</v>
      </c>
      <c r="CA3" s="12">
        <v>29.635071924219577</v>
      </c>
      <c r="CB3" s="12">
        <v>105</v>
      </c>
      <c r="CC3" s="12">
        <v>71.666666666666671</v>
      </c>
      <c r="CD3" s="12">
        <v>85.966666666666654</v>
      </c>
      <c r="CE3" s="12">
        <v>170.13333333333333</v>
      </c>
      <c r="CF3" s="12">
        <v>29.699645492870545</v>
      </c>
      <c r="CG3" s="12">
        <v>112.66666666666667</v>
      </c>
      <c r="CH3" s="12">
        <v>77</v>
      </c>
      <c r="CI3" s="12">
        <v>65.63333333333334</v>
      </c>
      <c r="CJ3" s="12">
        <v>171.16666666666666</v>
      </c>
      <c r="CK3" s="12">
        <v>22.401962968686746</v>
      </c>
      <c r="CL3" s="12">
        <v>104.33333333333333</v>
      </c>
      <c r="CM3" s="12">
        <v>65.333333333333329</v>
      </c>
      <c r="CN3" s="12">
        <v>90.3</v>
      </c>
      <c r="CO3" s="12">
        <v>182.06666666666669</v>
      </c>
      <c r="CP3" s="12">
        <v>27.241239730820208</v>
      </c>
      <c r="CQ3" s="12">
        <v>114.33333333333333</v>
      </c>
      <c r="CR3" s="12">
        <v>76.666666666666671</v>
      </c>
      <c r="CS3" s="12">
        <v>74.233333333333334</v>
      </c>
      <c r="CT3" s="12">
        <v>159.80000000000001</v>
      </c>
      <c r="CU3" s="12">
        <v>29.070025475106291</v>
      </c>
      <c r="CV3" s="12">
        <v>116.33333333333333</v>
      </c>
      <c r="CW3" s="12">
        <v>81</v>
      </c>
      <c r="CX3" s="12">
        <v>78.266666666666666</v>
      </c>
      <c r="CY3" s="12">
        <v>175.4</v>
      </c>
      <c r="CZ3" s="12">
        <v>25.440032382950932</v>
      </c>
      <c r="DA3" s="12">
        <v>121.33333333333333</v>
      </c>
      <c r="DB3" s="12">
        <v>74.666666666666671</v>
      </c>
      <c r="DC3" s="12">
        <v>75.099999999999994</v>
      </c>
      <c r="DD3" s="12">
        <v>170.5</v>
      </c>
      <c r="DE3" s="12">
        <v>25.833971156078803</v>
      </c>
      <c r="DF3" s="12">
        <v>106</v>
      </c>
      <c r="DG3" s="12">
        <v>70.666666666666671</v>
      </c>
    </row>
    <row r="4" spans="1:111" x14ac:dyDescent="0.2">
      <c r="B4" t="s">
        <v>37</v>
      </c>
      <c r="C4" s="12">
        <v>22.95645575141117</v>
      </c>
      <c r="D4" s="12">
        <v>22.987055973854467</v>
      </c>
      <c r="E4" s="12">
        <v>21.806226516371442</v>
      </c>
      <c r="F4" s="12">
        <v>22.31810466188443</v>
      </c>
      <c r="G4" s="12">
        <v>22.152668933549027</v>
      </c>
      <c r="H4" s="12">
        <v>22.578049308528669</v>
      </c>
      <c r="I4" s="12">
        <v>22.717132659131472</v>
      </c>
      <c r="K4" s="14" t="s">
        <v>39</v>
      </c>
      <c r="L4" s="12">
        <v>61.6</v>
      </c>
      <c r="M4" s="12">
        <v>163.69999999999999</v>
      </c>
      <c r="N4" s="12">
        <v>22.987055973854467</v>
      </c>
      <c r="O4" s="12">
        <v>103.33333333333333</v>
      </c>
      <c r="P4" s="12">
        <v>69.333333333333329</v>
      </c>
      <c r="Q4" s="12">
        <v>87</v>
      </c>
      <c r="R4" s="12">
        <v>177.5</v>
      </c>
      <c r="S4" s="12">
        <v>27.613568736361835</v>
      </c>
      <c r="T4" s="12">
        <v>109.33333333333333</v>
      </c>
      <c r="U4" s="12">
        <v>65.333333333333329</v>
      </c>
      <c r="V4" s="12">
        <v>55.033333333333331</v>
      </c>
      <c r="W4" s="12">
        <v>159.36666666666667</v>
      </c>
      <c r="X4" s="12">
        <v>21.66859939957024</v>
      </c>
      <c r="Y4" s="12">
        <v>107.33333333333333</v>
      </c>
      <c r="Z4" s="12">
        <v>71.666666666666671</v>
      </c>
      <c r="AA4" s="12">
        <v>78.2</v>
      </c>
      <c r="AB4" s="12">
        <v>171</v>
      </c>
      <c r="AC4" s="12">
        <v>26.743271433945491</v>
      </c>
      <c r="AD4" s="12">
        <v>111.33333333333333</v>
      </c>
      <c r="AE4" s="12">
        <v>72</v>
      </c>
      <c r="AF4" s="12">
        <v>73</v>
      </c>
      <c r="AG4" s="12">
        <v>173.5</v>
      </c>
      <c r="AH4" s="12">
        <v>24.250678935959936</v>
      </c>
      <c r="AI4" s="12">
        <v>122</v>
      </c>
      <c r="AJ4" s="12">
        <v>79.666666666666671</v>
      </c>
      <c r="AK4" s="12">
        <v>75.966666666666669</v>
      </c>
      <c r="AL4" s="12">
        <v>179.6</v>
      </c>
      <c r="AM4" s="12">
        <v>23.551057121079097</v>
      </c>
      <c r="AN4" s="12">
        <v>125.33333333333333</v>
      </c>
      <c r="AO4" s="12">
        <v>70.666666666666671</v>
      </c>
      <c r="AP4" s="12">
        <v>87.2</v>
      </c>
      <c r="AQ4" s="12">
        <v>170.7</v>
      </c>
      <c r="AR4" s="12">
        <v>29.926053134530999</v>
      </c>
      <c r="AS4" s="12">
        <v>119.66666666666667</v>
      </c>
      <c r="AT4" s="12">
        <v>75</v>
      </c>
      <c r="AU4" s="12">
        <v>58.466666666666669</v>
      </c>
      <c r="AV4" s="12">
        <v>151.53333333333333</v>
      </c>
      <c r="AW4" s="12">
        <v>25.461968760845046</v>
      </c>
      <c r="AX4" s="12">
        <v>107</v>
      </c>
      <c r="AY4" s="12">
        <v>73</v>
      </c>
      <c r="AZ4" s="12">
        <v>77.400000000000006</v>
      </c>
      <c r="BA4" s="12">
        <v>155.26666666666668</v>
      </c>
      <c r="BB4" s="12">
        <v>32.105874351821754</v>
      </c>
      <c r="BC4" s="12">
        <v>121</v>
      </c>
      <c r="BD4" s="12">
        <v>83.666666666666671</v>
      </c>
      <c r="BE4" s="12">
        <v>65.099999999999994</v>
      </c>
      <c r="BF4" s="12">
        <v>161.1</v>
      </c>
      <c r="BG4" s="12">
        <v>25.083602375197518</v>
      </c>
      <c r="BH4" s="12">
        <v>112.33333333333333</v>
      </c>
      <c r="BI4" s="12">
        <v>74.666666666666671</v>
      </c>
      <c r="BJ4" s="12">
        <v>85.8</v>
      </c>
      <c r="BK4" s="12">
        <v>188.1</v>
      </c>
      <c r="BL4" s="12">
        <v>24.249885745730619</v>
      </c>
      <c r="BM4" s="12">
        <v>102.33333333333333</v>
      </c>
      <c r="BN4" s="12">
        <v>66.333333333333329</v>
      </c>
      <c r="BO4" s="12">
        <v>74</v>
      </c>
      <c r="BP4" s="12">
        <v>165.4</v>
      </c>
      <c r="BQ4" s="12">
        <v>27.049591404955773</v>
      </c>
      <c r="BR4" s="12">
        <v>116.33333333333333</v>
      </c>
      <c r="BS4" s="12">
        <v>80.333333333333329</v>
      </c>
      <c r="BT4" s="12">
        <v>67.2</v>
      </c>
      <c r="BU4" s="12">
        <v>166.1</v>
      </c>
      <c r="BV4" s="12">
        <v>24.357348398160006</v>
      </c>
      <c r="BW4" s="12">
        <v>100.66666666666667</v>
      </c>
      <c r="BX4" s="12">
        <v>65.666666666666671</v>
      </c>
      <c r="BY4" s="12">
        <v>88.3</v>
      </c>
      <c r="BZ4" s="12">
        <v>173.63333333333333</v>
      </c>
      <c r="CA4" s="12">
        <v>29.288322509577672</v>
      </c>
      <c r="CB4" s="12">
        <v>109.33333333333333</v>
      </c>
      <c r="CC4" s="12">
        <v>70</v>
      </c>
      <c r="CD4" s="12">
        <v>86.7</v>
      </c>
      <c r="CE4" s="12">
        <v>170.46666666666667</v>
      </c>
      <c r="CF4" s="12">
        <v>29.83596984452565</v>
      </c>
      <c r="CG4" s="12">
        <v>105.66666666666667</v>
      </c>
      <c r="CH4" s="12">
        <v>70.333333333333329</v>
      </c>
      <c r="CI4" s="12">
        <v>64.7</v>
      </c>
      <c r="CJ4" s="12">
        <v>170.6</v>
      </c>
      <c r="CK4" s="12">
        <v>22.230346243655593</v>
      </c>
      <c r="CL4" s="12">
        <v>107.33333333333333</v>
      </c>
      <c r="CM4" s="12">
        <v>69</v>
      </c>
      <c r="CN4" s="12">
        <v>89.266666666666666</v>
      </c>
      <c r="CO4" s="12">
        <v>182.5</v>
      </c>
      <c r="CP4" s="12">
        <v>26.801776443360229</v>
      </c>
      <c r="CQ4" s="12">
        <v>109.66666666666667</v>
      </c>
      <c r="CR4" s="12">
        <v>71.666666666666671</v>
      </c>
      <c r="CS4" s="12">
        <v>73.8</v>
      </c>
      <c r="CT4" s="12">
        <v>163</v>
      </c>
      <c r="CU4" s="12">
        <v>27.776732281982763</v>
      </c>
      <c r="CV4" s="12">
        <v>107.66666666666667</v>
      </c>
      <c r="CW4" s="12">
        <v>71.333333333333329</v>
      </c>
      <c r="CX4" s="12">
        <v>77.7</v>
      </c>
      <c r="CY4" s="12">
        <v>175.43333333333331</v>
      </c>
      <c r="CZ4" s="12">
        <v>25.246244751963506</v>
      </c>
      <c r="DA4" s="12">
        <v>123</v>
      </c>
      <c r="DB4" s="12">
        <v>69</v>
      </c>
      <c r="DC4" s="12">
        <v>74.8</v>
      </c>
      <c r="DD4" s="12">
        <v>170.4</v>
      </c>
      <c r="DE4" s="12">
        <v>25.760982168441004</v>
      </c>
      <c r="DF4" s="12">
        <v>109.33333333333333</v>
      </c>
      <c r="DG4" s="12">
        <v>71.333333333333329</v>
      </c>
    </row>
    <row r="5" spans="1:111" x14ac:dyDescent="0.2">
      <c r="B5" t="s">
        <v>51</v>
      </c>
      <c r="C5" s="12">
        <v>115</v>
      </c>
      <c r="D5" s="12">
        <v>103.33333333333333</v>
      </c>
      <c r="E5" s="12">
        <v>108.66666666666667</v>
      </c>
      <c r="F5" s="12">
        <v>98.666666666666671</v>
      </c>
      <c r="G5" s="12">
        <v>104.33333333333333</v>
      </c>
      <c r="H5" s="12">
        <v>108.66666666666667</v>
      </c>
      <c r="I5" s="12">
        <v>106</v>
      </c>
      <c r="K5" s="14" t="s">
        <v>41</v>
      </c>
      <c r="L5" s="12">
        <v>59.79999999999999</v>
      </c>
      <c r="M5" s="12">
        <v>165.6</v>
      </c>
      <c r="N5" s="12">
        <v>21.806226516371442</v>
      </c>
      <c r="O5" s="12">
        <v>108.66666666666667</v>
      </c>
      <c r="P5" s="12">
        <v>72.333333333333329</v>
      </c>
      <c r="Q5" s="12">
        <v>87.59999999999998</v>
      </c>
      <c r="R5" s="12">
        <v>176.5</v>
      </c>
      <c r="S5" s="12">
        <v>28.119959232479193</v>
      </c>
      <c r="T5" s="12">
        <v>96.666666666666671</v>
      </c>
      <c r="U5" s="12">
        <v>59.666666666666664</v>
      </c>
      <c r="V5" s="12">
        <v>55.366666666666667</v>
      </c>
      <c r="W5" s="12">
        <v>157.9</v>
      </c>
      <c r="X5" s="12">
        <v>22.206704713530169</v>
      </c>
      <c r="Y5" s="12">
        <v>106.66666666666667</v>
      </c>
      <c r="Z5" s="12">
        <v>70</v>
      </c>
      <c r="AA5" s="12">
        <v>78.166666666666671</v>
      </c>
      <c r="AB5" s="12">
        <v>171.1</v>
      </c>
      <c r="AC5" s="12">
        <v>26.700633972110424</v>
      </c>
      <c r="AD5" s="12">
        <v>105</v>
      </c>
      <c r="AE5" s="12">
        <v>72.333333333333329</v>
      </c>
      <c r="AF5" s="12">
        <v>73.8</v>
      </c>
      <c r="AG5" s="12">
        <v>173.8</v>
      </c>
      <c r="AH5" s="12">
        <v>24.431876116483764</v>
      </c>
      <c r="AI5" s="12">
        <v>115.33333333333333</v>
      </c>
      <c r="AJ5" s="12">
        <v>78.333333333333329</v>
      </c>
      <c r="AK5" s="12">
        <v>76</v>
      </c>
      <c r="AL5" s="12">
        <v>179.76666666666665</v>
      </c>
      <c r="AM5" s="12">
        <v>23.517722477740598</v>
      </c>
      <c r="AN5" s="12">
        <v>128.33333333333334</v>
      </c>
      <c r="AO5" s="12">
        <v>75.333333333333329</v>
      </c>
      <c r="AP5" s="12">
        <v>87.533333333333346</v>
      </c>
      <c r="AQ5" s="12">
        <v>170.6</v>
      </c>
      <c r="AR5" s="12">
        <v>30.075677092137862</v>
      </c>
      <c r="AS5" s="12">
        <v>110.33333333333333</v>
      </c>
      <c r="AT5" s="12">
        <v>69.666666666666671</v>
      </c>
      <c r="AU5" s="12">
        <v>58.4</v>
      </c>
      <c r="AV5" s="12">
        <v>151.80000000000001</v>
      </c>
      <c r="AW5" s="12">
        <v>25.34365827027796</v>
      </c>
      <c r="AX5" s="12">
        <v>109.33333333333333</v>
      </c>
      <c r="AY5" s="12">
        <v>75.333333333333329</v>
      </c>
      <c r="AZ5" s="12">
        <v>75.8</v>
      </c>
      <c r="BA5" s="12">
        <v>153.9</v>
      </c>
      <c r="BB5" s="12">
        <v>32.003093913881273</v>
      </c>
      <c r="BC5" s="12">
        <v>117.33333333333333</v>
      </c>
      <c r="BD5" s="12">
        <v>79</v>
      </c>
      <c r="BE5" s="12">
        <v>65.8</v>
      </c>
      <c r="BF5" s="12">
        <v>160.69999999999999</v>
      </c>
      <c r="BG5" s="12">
        <v>25.479690015175517</v>
      </c>
      <c r="BH5" s="12">
        <v>108.66666666666667</v>
      </c>
      <c r="BI5" s="12">
        <v>71.666666666666671</v>
      </c>
      <c r="BJ5" s="12">
        <v>84.5</v>
      </c>
      <c r="BK5" s="12">
        <v>188.1</v>
      </c>
      <c r="BL5" s="12">
        <v>23.882463234431672</v>
      </c>
      <c r="BM5" s="12">
        <v>107.33333333333333</v>
      </c>
      <c r="BN5" s="12">
        <v>70.333333333333329</v>
      </c>
      <c r="BO5" s="12">
        <v>75.7</v>
      </c>
      <c r="BP5" s="12">
        <v>164.5</v>
      </c>
      <c r="BQ5" s="12">
        <v>27.974612207943387</v>
      </c>
      <c r="BR5" s="12">
        <v>128</v>
      </c>
      <c r="BS5" s="12">
        <v>88.666666666666671</v>
      </c>
      <c r="BT5" s="12">
        <v>66.766666666666666</v>
      </c>
      <c r="BU5" s="12">
        <v>165.63333333333333</v>
      </c>
      <c r="BV5" s="12">
        <v>24.336841324240076</v>
      </c>
      <c r="BW5" s="12">
        <v>112</v>
      </c>
      <c r="BX5" s="12">
        <v>74.666666666666671</v>
      </c>
      <c r="BY5" s="12">
        <v>88.90000000000002</v>
      </c>
      <c r="BZ5" s="12">
        <v>173.9</v>
      </c>
      <c r="CA5" s="12">
        <v>29.396971880424097</v>
      </c>
      <c r="CB5" s="12">
        <v>111.66666666666667</v>
      </c>
      <c r="CC5" s="12">
        <v>74.666666666666671</v>
      </c>
      <c r="CD5" s="12">
        <v>86.7</v>
      </c>
      <c r="CE5" s="12">
        <v>170.43333333333331</v>
      </c>
      <c r="CF5" s="12">
        <v>29.847641617458365</v>
      </c>
      <c r="CG5" s="12">
        <v>114</v>
      </c>
      <c r="CH5" s="12">
        <v>73</v>
      </c>
      <c r="CI5" s="12">
        <v>67</v>
      </c>
      <c r="CJ5" s="12">
        <v>171.1</v>
      </c>
      <c r="CK5" s="12">
        <v>22.886257690380361</v>
      </c>
      <c r="CL5" s="12">
        <v>111</v>
      </c>
      <c r="CM5" s="12">
        <v>72.333333333333329</v>
      </c>
      <c r="CN5" s="12">
        <v>89.09999999999998</v>
      </c>
      <c r="CO5" s="12">
        <v>181.9</v>
      </c>
      <c r="CP5" s="12">
        <v>26.928508888976868</v>
      </c>
      <c r="CQ5" s="12">
        <v>114.66666666666667</v>
      </c>
      <c r="CR5" s="12">
        <v>72</v>
      </c>
      <c r="CS5" s="12">
        <v>73.599999999999994</v>
      </c>
      <c r="CT5" s="12">
        <v>162.66666666666666</v>
      </c>
      <c r="CU5" s="12">
        <v>27.815103466810001</v>
      </c>
      <c r="CV5" s="12">
        <v>117.66666666666667</v>
      </c>
      <c r="CW5" s="12">
        <v>78.333333333333329</v>
      </c>
      <c r="CX5" s="12">
        <v>78.5</v>
      </c>
      <c r="CY5" s="12">
        <v>175.83333333333334</v>
      </c>
      <c r="CZ5" s="12">
        <v>25.390265268075733</v>
      </c>
      <c r="DA5" s="12">
        <v>126.33333333333333</v>
      </c>
      <c r="DB5" s="12">
        <v>76.666666666666671</v>
      </c>
      <c r="DC5" s="12">
        <v>74.8</v>
      </c>
      <c r="DD5" s="12">
        <v>170.7</v>
      </c>
      <c r="DE5" s="12">
        <v>25.670513468611453</v>
      </c>
      <c r="DF5" s="12">
        <v>113.33333333333333</v>
      </c>
      <c r="DG5" s="12">
        <v>73</v>
      </c>
    </row>
    <row r="6" spans="1:111" x14ac:dyDescent="0.2">
      <c r="B6" t="s">
        <v>50</v>
      </c>
      <c r="C6" s="12">
        <v>75.333333333333329</v>
      </c>
      <c r="D6" s="12">
        <v>69.333333333333329</v>
      </c>
      <c r="E6" s="12">
        <v>72.333333333333329</v>
      </c>
      <c r="F6" s="12">
        <v>64.333333333333329</v>
      </c>
      <c r="G6" s="12">
        <v>72.333333333333329</v>
      </c>
      <c r="H6" s="12">
        <v>75</v>
      </c>
      <c r="I6" s="12">
        <v>71.666666666666671</v>
      </c>
      <c r="K6" s="14" t="s">
        <v>43</v>
      </c>
      <c r="L6" s="12">
        <v>60.1</v>
      </c>
      <c r="M6" s="12">
        <v>164.1</v>
      </c>
      <c r="N6" s="12">
        <v>22.31810466188443</v>
      </c>
      <c r="O6" s="12">
        <v>98.666666666666671</v>
      </c>
      <c r="P6" s="12">
        <v>64.333333333333329</v>
      </c>
      <c r="Q6" s="12">
        <v>88.2</v>
      </c>
      <c r="R6" s="12">
        <v>176.7</v>
      </c>
      <c r="S6" s="12">
        <v>28.24850614405009</v>
      </c>
      <c r="T6" s="12">
        <v>104.66666666666667</v>
      </c>
      <c r="U6" s="12">
        <v>64.666666666666671</v>
      </c>
      <c r="V6" s="12">
        <v>55.766666666666673</v>
      </c>
      <c r="W6" s="12">
        <v>158.69999999999999</v>
      </c>
      <c r="X6" s="12">
        <v>22.142203237896869</v>
      </c>
      <c r="Y6" s="12">
        <v>105.33333333333333</v>
      </c>
      <c r="Z6" s="12">
        <v>68.666666666666671</v>
      </c>
      <c r="AA6" s="12">
        <v>78.099999999999994</v>
      </c>
      <c r="AB6" s="12">
        <v>171.1</v>
      </c>
      <c r="AC6" s="12">
        <v>26.677861576398598</v>
      </c>
      <c r="AD6" s="12">
        <v>113.66666666666667</v>
      </c>
      <c r="AE6" s="12">
        <v>74.666666666666671</v>
      </c>
      <c r="AF6" s="12">
        <v>74.033333333333331</v>
      </c>
      <c r="AG6" s="12">
        <v>173.69999999999996</v>
      </c>
      <c r="AH6" s="12">
        <v>24.537350520747548</v>
      </c>
      <c r="AI6" s="12">
        <v>125.33333333333333</v>
      </c>
      <c r="AJ6" s="12">
        <v>81.333333333333329</v>
      </c>
      <c r="AK6" s="12">
        <v>75.7</v>
      </c>
      <c r="AL6" s="12">
        <v>179.5</v>
      </c>
      <c r="AM6" s="12">
        <v>23.49454147624553</v>
      </c>
      <c r="AN6" s="12">
        <v>108.33333333333333</v>
      </c>
      <c r="AO6" s="12">
        <v>68</v>
      </c>
      <c r="AP6" s="12">
        <v>87</v>
      </c>
      <c r="AQ6" s="12">
        <v>170.9</v>
      </c>
      <c r="AR6" s="12">
        <v>29.787573514533083</v>
      </c>
      <c r="AS6" s="12">
        <v>107.66666666666667</v>
      </c>
      <c r="AT6" s="12">
        <v>68</v>
      </c>
      <c r="AU6" s="12">
        <v>58.20000000000001</v>
      </c>
      <c r="AV6" s="12">
        <v>151.5</v>
      </c>
      <c r="AW6" s="12">
        <v>25.356991144659027</v>
      </c>
      <c r="AX6" s="12">
        <v>108.66666666666667</v>
      </c>
      <c r="AY6" s="12">
        <v>73.333333333333329</v>
      </c>
      <c r="AZ6" s="12">
        <v>77.7</v>
      </c>
      <c r="BA6" s="12">
        <v>154.03333333333333</v>
      </c>
      <c r="BB6" s="12">
        <v>32.748513473650704</v>
      </c>
      <c r="BC6" s="12">
        <v>115.66666666666667</v>
      </c>
      <c r="BD6" s="12">
        <v>79</v>
      </c>
      <c r="BE6" s="12">
        <v>65.36666666666666</v>
      </c>
      <c r="BF6" s="12">
        <v>160.93333333333334</v>
      </c>
      <c r="BG6" s="12">
        <v>25.238545655726845</v>
      </c>
      <c r="BH6" s="12">
        <v>112</v>
      </c>
      <c r="BI6" s="12">
        <v>72.666666666666671</v>
      </c>
      <c r="BJ6" s="12">
        <v>82.9</v>
      </c>
      <c r="BK6" s="12">
        <v>188.13333333333333</v>
      </c>
      <c r="BL6" s="12">
        <v>23.421948937200423</v>
      </c>
      <c r="BM6" s="12">
        <v>106.66666666666667</v>
      </c>
      <c r="BN6" s="12">
        <v>68</v>
      </c>
      <c r="BO6" s="12">
        <v>75.833333333333329</v>
      </c>
      <c r="BP6" s="12">
        <v>165.6</v>
      </c>
      <c r="BQ6" s="12">
        <v>27.652823480905816</v>
      </c>
      <c r="BR6" s="12">
        <v>112.66666666666667</v>
      </c>
      <c r="BS6" s="12">
        <v>79</v>
      </c>
      <c r="BT6" s="12">
        <v>66.7</v>
      </c>
      <c r="BU6" s="12">
        <v>165.33333333333334</v>
      </c>
      <c r="BV6" s="12">
        <v>24.40085197710718</v>
      </c>
      <c r="BW6" s="12">
        <v>106</v>
      </c>
      <c r="BX6" s="12">
        <v>71</v>
      </c>
      <c r="BY6" s="12">
        <v>88</v>
      </c>
      <c r="BZ6" s="12">
        <v>173.70000000000002</v>
      </c>
      <c r="CA6" s="12">
        <v>29.166413946318549</v>
      </c>
      <c r="CB6" s="12">
        <v>106.33333333333333</v>
      </c>
      <c r="CC6" s="12">
        <v>69.333333333333329</v>
      </c>
      <c r="CD6" s="12">
        <v>86.233333333333334</v>
      </c>
      <c r="CE6" s="12">
        <v>170.6</v>
      </c>
      <c r="CF6" s="12">
        <v>29.629008620472444</v>
      </c>
      <c r="CG6" s="12">
        <v>113</v>
      </c>
      <c r="CH6" s="12">
        <v>75</v>
      </c>
      <c r="CI6" s="12">
        <v>65.599999999999994</v>
      </c>
      <c r="CJ6" s="12">
        <v>171</v>
      </c>
      <c r="CK6" s="12">
        <v>22.434253274511818</v>
      </c>
      <c r="CL6" s="12">
        <v>104.33333333333333</v>
      </c>
      <c r="CM6" s="12">
        <v>67</v>
      </c>
      <c r="CN6" s="12">
        <v>89.90000000000002</v>
      </c>
      <c r="CO6" s="12">
        <v>182.46666666666667</v>
      </c>
      <c r="CP6" s="12">
        <v>27.00179371203614</v>
      </c>
      <c r="CQ6" s="12">
        <v>118.66666666666667</v>
      </c>
      <c r="CR6" s="12">
        <v>74.666666666666671</v>
      </c>
      <c r="CS6" s="12">
        <v>74.3</v>
      </c>
      <c r="CT6" s="12">
        <v>161.9</v>
      </c>
      <c r="CU6" s="12">
        <v>28.346217573052552</v>
      </c>
      <c r="CV6" s="12">
        <v>120.66666666666667</v>
      </c>
      <c r="CW6" s="12">
        <v>80.333333333333329</v>
      </c>
      <c r="CX6" s="12">
        <v>77.36666666666666</v>
      </c>
      <c r="CY6" s="12">
        <v>176</v>
      </c>
      <c r="CZ6" s="12">
        <v>24.976325757575758</v>
      </c>
      <c r="DA6" s="12">
        <v>115.66666666666667</v>
      </c>
      <c r="DB6" s="12">
        <v>70</v>
      </c>
      <c r="DC6" s="12">
        <v>74.36666666666666</v>
      </c>
      <c r="DD6" s="12">
        <v>171.1</v>
      </c>
      <c r="DE6" s="12">
        <v>25.402607416536608</v>
      </c>
      <c r="DF6" s="12">
        <v>114.66666666666667</v>
      </c>
      <c r="DG6" s="12">
        <v>72.333333333333329</v>
      </c>
    </row>
    <row r="7" spans="1:111" x14ac:dyDescent="0.2">
      <c r="A7">
        <v>202</v>
      </c>
      <c r="B7" t="s">
        <v>35</v>
      </c>
      <c r="C7" s="12">
        <v>85.866666666666674</v>
      </c>
      <c r="D7" s="12">
        <v>87</v>
      </c>
      <c r="E7" s="12">
        <v>87.59999999999998</v>
      </c>
      <c r="F7" s="12">
        <v>88.2</v>
      </c>
      <c r="G7" s="12">
        <v>87.90000000000002</v>
      </c>
      <c r="H7" s="12">
        <v>87.233333333333334</v>
      </c>
      <c r="I7" s="12">
        <v>86.59999999999998</v>
      </c>
      <c r="K7" s="14" t="s">
        <v>45</v>
      </c>
      <c r="L7" s="12">
        <v>59.79999999999999</v>
      </c>
      <c r="M7" s="12">
        <v>164.3</v>
      </c>
      <c r="N7" s="12">
        <v>22.152668933549027</v>
      </c>
      <c r="O7" s="12">
        <v>104.33333333333333</v>
      </c>
      <c r="P7" s="12">
        <v>72.333333333333329</v>
      </c>
      <c r="Q7" s="12">
        <v>87.90000000000002</v>
      </c>
      <c r="R7" s="12">
        <v>177.2</v>
      </c>
      <c r="S7" s="12">
        <v>27.993773216678825</v>
      </c>
      <c r="T7" s="12">
        <v>102.66666666666667</v>
      </c>
      <c r="U7" s="12">
        <v>65.333333333333329</v>
      </c>
      <c r="V7" s="12">
        <v>55.6</v>
      </c>
      <c r="W7" s="12">
        <v>158.9</v>
      </c>
      <c r="X7" s="12">
        <v>22.020490938132323</v>
      </c>
      <c r="Y7" s="12">
        <v>105</v>
      </c>
      <c r="Z7" s="12">
        <v>70.333333333333329</v>
      </c>
      <c r="AA7" s="12">
        <v>77.900000000000006</v>
      </c>
      <c r="AB7" s="12">
        <v>171.19999999999996</v>
      </c>
      <c r="AC7" s="12">
        <v>26.57846755175126</v>
      </c>
      <c r="AD7" s="12">
        <v>108</v>
      </c>
      <c r="AE7" s="12">
        <v>71.666666666666671</v>
      </c>
      <c r="AF7" s="12">
        <v>72.333333333333329</v>
      </c>
      <c r="AG7" s="12">
        <v>173.4</v>
      </c>
      <c r="AH7" s="12">
        <v>24.056934893730432</v>
      </c>
      <c r="AI7" s="12">
        <v>116</v>
      </c>
      <c r="AJ7" s="12">
        <v>76</v>
      </c>
      <c r="AK7" s="12">
        <v>75.033333333333331</v>
      </c>
      <c r="AL7" s="12">
        <v>179.46666666666667</v>
      </c>
      <c r="AM7" s="12">
        <v>23.296283744251305</v>
      </c>
      <c r="AN7" s="12">
        <v>117.66666666666667</v>
      </c>
      <c r="AO7" s="12">
        <v>73.666666666666671</v>
      </c>
      <c r="AP7" s="12">
        <v>88.2</v>
      </c>
      <c r="AQ7" s="12">
        <v>171</v>
      </c>
      <c r="AR7" s="12">
        <v>30.163127116035707</v>
      </c>
      <c r="AS7" s="12">
        <v>114.66666666666667</v>
      </c>
      <c r="AT7" s="12">
        <v>72</v>
      </c>
      <c r="AU7" s="12">
        <v>58.20000000000001</v>
      </c>
      <c r="AV7" s="12">
        <v>151.4</v>
      </c>
      <c r="AW7" s="12">
        <v>25.390498892764846</v>
      </c>
      <c r="AX7" s="12">
        <v>111</v>
      </c>
      <c r="AY7" s="12">
        <v>77</v>
      </c>
      <c r="AZ7" s="12">
        <v>77.099999999999994</v>
      </c>
      <c r="BA7" s="12">
        <v>153.9</v>
      </c>
      <c r="BB7" s="12">
        <v>32.55195964063649</v>
      </c>
      <c r="BC7" s="12">
        <v>125</v>
      </c>
      <c r="BD7" s="12">
        <v>84.333333333333329</v>
      </c>
      <c r="BE7" s="12">
        <v>65.2</v>
      </c>
      <c r="BF7" s="12">
        <v>160.4</v>
      </c>
      <c r="BG7" s="12">
        <v>25.341882202225108</v>
      </c>
      <c r="BH7" s="12">
        <v>113.33333333333333</v>
      </c>
      <c r="BI7" s="12">
        <v>72.666666666666671</v>
      </c>
      <c r="BJ7" s="12">
        <v>81.099999999999994</v>
      </c>
      <c r="BK7" s="12">
        <v>186.3</v>
      </c>
      <c r="BL7" s="12">
        <v>23.366579567813353</v>
      </c>
      <c r="BM7" s="12">
        <v>123</v>
      </c>
      <c r="BN7" s="12">
        <v>77.666666666666671</v>
      </c>
      <c r="BO7" s="12">
        <v>75.766666666666666</v>
      </c>
      <c r="BP7" s="12">
        <v>164.96666666666667</v>
      </c>
      <c r="BQ7" s="12">
        <v>27.841061061665112</v>
      </c>
      <c r="BR7" s="12">
        <v>111.66666666666667</v>
      </c>
      <c r="BS7" s="12">
        <v>80.666666666666671</v>
      </c>
      <c r="BT7" s="12">
        <v>67.8</v>
      </c>
      <c r="BU7" s="12">
        <v>166.1</v>
      </c>
      <c r="BV7" s="12">
        <v>24.574824723143575</v>
      </c>
      <c r="BW7" s="12">
        <v>116.66666666666667</v>
      </c>
      <c r="BX7" s="12">
        <v>77.666666666666671</v>
      </c>
      <c r="BY7" s="12">
        <v>86.166666666666671</v>
      </c>
      <c r="BZ7" s="12">
        <v>173.5</v>
      </c>
      <c r="CA7" s="12">
        <v>28.624659839934445</v>
      </c>
      <c r="CB7" s="12">
        <v>111</v>
      </c>
      <c r="CC7" s="12">
        <v>75</v>
      </c>
      <c r="CD7" s="12">
        <v>86.7</v>
      </c>
      <c r="CE7" s="12">
        <v>169.9</v>
      </c>
      <c r="CF7" s="12">
        <v>30.035325283958539</v>
      </c>
      <c r="CG7" s="12">
        <v>115.66666666666667</v>
      </c>
      <c r="CH7" s="12">
        <v>78</v>
      </c>
      <c r="CI7" s="12">
        <v>65.5</v>
      </c>
      <c r="CJ7" s="12">
        <v>171.1</v>
      </c>
      <c r="CK7" s="12">
        <v>22.373878786864385</v>
      </c>
      <c r="CL7" s="12">
        <v>108.33333333333333</v>
      </c>
      <c r="CM7" s="12">
        <v>68.333333333333329</v>
      </c>
      <c r="CN7" s="12">
        <v>89.2</v>
      </c>
      <c r="CO7" s="12">
        <v>182.1</v>
      </c>
      <c r="CP7" s="12">
        <v>26.899546778824512</v>
      </c>
      <c r="CQ7" s="12">
        <v>113.66666666666667</v>
      </c>
      <c r="CR7" s="12">
        <v>72.333333333333329</v>
      </c>
      <c r="CS7" s="12">
        <v>74.7</v>
      </c>
      <c r="CT7" s="12">
        <v>162.26666666666668</v>
      </c>
      <c r="CU7" s="12">
        <v>28.370172217874821</v>
      </c>
      <c r="CV7" s="12">
        <v>110.33333333333333</v>
      </c>
      <c r="CW7" s="12">
        <v>73.666666666666671</v>
      </c>
      <c r="CX7" s="12">
        <v>77.7</v>
      </c>
      <c r="CY7" s="12">
        <v>176</v>
      </c>
      <c r="CZ7" s="12">
        <v>25.083935950413224</v>
      </c>
      <c r="DA7" s="12">
        <v>121.33333333333333</v>
      </c>
      <c r="DB7" s="12">
        <v>72</v>
      </c>
      <c r="DC7" s="12">
        <v>73.066666666666663</v>
      </c>
      <c r="DD7" s="12">
        <v>170.6</v>
      </c>
      <c r="DE7" s="12">
        <v>25.105058715143254</v>
      </c>
      <c r="DF7" s="12">
        <v>107.33333333333333</v>
      </c>
      <c r="DG7" s="12">
        <v>72</v>
      </c>
    </row>
    <row r="8" spans="1:111" x14ac:dyDescent="0.2">
      <c r="B8" t="s">
        <v>36</v>
      </c>
      <c r="C8" s="12">
        <v>177.1</v>
      </c>
      <c r="D8" s="12">
        <v>177.5</v>
      </c>
      <c r="E8" s="12">
        <v>176.5</v>
      </c>
      <c r="F8" s="12">
        <v>176.7</v>
      </c>
      <c r="G8" s="12">
        <v>177.2</v>
      </c>
      <c r="H8" s="12">
        <v>177.1</v>
      </c>
      <c r="I8" s="12">
        <v>177.5</v>
      </c>
      <c r="K8" s="14" t="s">
        <v>47</v>
      </c>
      <c r="L8" s="12">
        <v>60.79999999999999</v>
      </c>
      <c r="M8" s="12">
        <v>164.1</v>
      </c>
      <c r="N8" s="12">
        <v>22.578049308528669</v>
      </c>
      <c r="O8" s="12">
        <v>108.66666666666667</v>
      </c>
      <c r="P8" s="12">
        <v>75</v>
      </c>
      <c r="Q8" s="12">
        <v>87.233333333333334</v>
      </c>
      <c r="R8" s="12">
        <v>177.1</v>
      </c>
      <c r="S8" s="12">
        <v>27.812840519982153</v>
      </c>
      <c r="T8" s="12">
        <v>111.33333333333333</v>
      </c>
      <c r="U8" s="12">
        <v>71.333333333333329</v>
      </c>
      <c r="V8" s="12">
        <v>54.466666666666669</v>
      </c>
      <c r="W8" s="12">
        <v>159.1</v>
      </c>
      <c r="X8" s="12">
        <v>21.517431951121456</v>
      </c>
      <c r="Y8" s="12">
        <v>102</v>
      </c>
      <c r="Z8" s="12">
        <v>66</v>
      </c>
      <c r="AA8" s="12">
        <v>78.400000000000006</v>
      </c>
      <c r="AB8" s="12">
        <v>171.6</v>
      </c>
      <c r="AC8" s="12">
        <v>26.62450214897768</v>
      </c>
      <c r="AD8" s="12">
        <v>107.33333333333333</v>
      </c>
      <c r="AE8" s="12">
        <v>72.333333333333329</v>
      </c>
      <c r="AF8" s="12">
        <v>72.599999999999994</v>
      </c>
      <c r="AG8" s="12">
        <v>173.3</v>
      </c>
      <c r="AH8" s="12">
        <v>24.173497788591103</v>
      </c>
      <c r="AI8" s="12">
        <v>112.66666666666667</v>
      </c>
      <c r="AJ8" s="12">
        <v>76</v>
      </c>
      <c r="AK8" s="12">
        <v>74.900000000000006</v>
      </c>
      <c r="AL8" s="12">
        <v>179.30000000000004</v>
      </c>
      <c r="AM8" s="12">
        <v>23.298139352734754</v>
      </c>
      <c r="AN8" s="12">
        <v>115.66666666666667</v>
      </c>
      <c r="AO8" s="12">
        <v>70</v>
      </c>
      <c r="AP8" s="12">
        <v>88.433333333333337</v>
      </c>
      <c r="AQ8" s="12">
        <v>171</v>
      </c>
      <c r="AR8" s="12">
        <v>30.242923748617812</v>
      </c>
      <c r="AS8" s="12">
        <v>115.33333333333333</v>
      </c>
      <c r="AT8" s="12">
        <v>74</v>
      </c>
      <c r="AU8" s="12">
        <v>59.5</v>
      </c>
      <c r="AV8" s="12">
        <v>151.5</v>
      </c>
      <c r="AW8" s="12">
        <v>25.923384417649686</v>
      </c>
      <c r="AX8" s="12">
        <v>107.66666666666667</v>
      </c>
      <c r="AY8" s="12">
        <v>72.666666666666671</v>
      </c>
      <c r="AZ8" s="12">
        <v>75.8</v>
      </c>
      <c r="BA8" s="12">
        <v>154.1</v>
      </c>
      <c r="BB8" s="12">
        <v>31.920076844005575</v>
      </c>
      <c r="BC8" s="12">
        <v>115</v>
      </c>
      <c r="BD8" s="12">
        <v>76.666666666666671</v>
      </c>
      <c r="BE8" s="12">
        <v>66.433333333333337</v>
      </c>
      <c r="BF8" s="12">
        <v>161.23333333333332</v>
      </c>
      <c r="BG8" s="12">
        <v>25.555029030111218</v>
      </c>
      <c r="BH8" s="12">
        <v>105</v>
      </c>
      <c r="BI8" s="12">
        <v>72</v>
      </c>
      <c r="BJ8" s="12">
        <v>81.099999999999994</v>
      </c>
      <c r="BK8" s="12">
        <v>187.9</v>
      </c>
      <c r="BL8" s="12">
        <v>22.970333149136373</v>
      </c>
      <c r="BM8" s="12">
        <v>114</v>
      </c>
      <c r="BN8" s="12">
        <v>75.666666666666671</v>
      </c>
      <c r="BO8" s="12">
        <v>77.2</v>
      </c>
      <c r="BP8" s="12">
        <v>164.5</v>
      </c>
      <c r="BQ8" s="12">
        <v>28.528930811799597</v>
      </c>
      <c r="BR8" s="12">
        <v>127.66666666666667</v>
      </c>
      <c r="BS8" s="12">
        <v>87</v>
      </c>
      <c r="BT8" s="12">
        <v>67.400000000000006</v>
      </c>
      <c r="BU8" s="12">
        <v>165.5</v>
      </c>
      <c r="BV8" s="12">
        <v>24.607296391964294</v>
      </c>
      <c r="BW8" s="12">
        <v>113.33333333333333</v>
      </c>
      <c r="BX8" s="12">
        <v>75</v>
      </c>
      <c r="BY8" s="12">
        <v>86.90000000000002</v>
      </c>
      <c r="BZ8" s="12">
        <v>174</v>
      </c>
      <c r="CA8" s="12">
        <v>28.702602721627699</v>
      </c>
      <c r="CB8" s="12">
        <v>103</v>
      </c>
      <c r="CC8" s="12">
        <v>68</v>
      </c>
      <c r="CD8" s="12">
        <v>86.5</v>
      </c>
      <c r="CE8" s="12">
        <v>169.7</v>
      </c>
      <c r="CF8" s="12">
        <v>30.036714240423589</v>
      </c>
      <c r="CG8" s="12">
        <v>116</v>
      </c>
      <c r="CH8" s="12">
        <v>76.333333333333329</v>
      </c>
      <c r="CI8" s="12">
        <v>65</v>
      </c>
      <c r="CJ8" s="12">
        <v>171</v>
      </c>
      <c r="CK8" s="12">
        <v>22.229061933586404</v>
      </c>
      <c r="CL8" s="12">
        <v>119.66666666666667</v>
      </c>
      <c r="CM8" s="12">
        <v>77.333333333333329</v>
      </c>
      <c r="CN8" s="12">
        <v>89.09999999999998</v>
      </c>
      <c r="CO8" s="12">
        <v>182.4</v>
      </c>
      <c r="CP8" s="12">
        <v>26.781076869806085</v>
      </c>
      <c r="CQ8" s="12">
        <v>117.33333333333333</v>
      </c>
      <c r="CR8" s="12">
        <v>74</v>
      </c>
      <c r="CS8" s="12">
        <v>74.066666666666663</v>
      </c>
      <c r="CT8" s="12">
        <v>162.4</v>
      </c>
      <c r="CU8" s="12">
        <v>28.083468821535746</v>
      </c>
      <c r="CV8" s="12">
        <v>119.66666666666667</v>
      </c>
      <c r="CW8" s="12">
        <v>79</v>
      </c>
      <c r="CX8" s="12">
        <v>77.183333333333337</v>
      </c>
      <c r="CY8" s="12">
        <v>175.8</v>
      </c>
      <c r="CZ8" s="12">
        <v>24.973866690135953</v>
      </c>
      <c r="DA8" s="12">
        <v>115.66666666666667</v>
      </c>
      <c r="DB8" s="12">
        <v>72</v>
      </c>
      <c r="DC8" s="12">
        <v>73.11666666666666</v>
      </c>
      <c r="DD8" s="12">
        <v>170.7</v>
      </c>
      <c r="DE8" s="12">
        <v>25.092812519340114</v>
      </c>
      <c r="DF8" s="12">
        <v>112.33333333333333</v>
      </c>
      <c r="DG8" s="12">
        <v>69.666666666666671</v>
      </c>
    </row>
    <row r="9" spans="1:111" x14ac:dyDescent="0.2">
      <c r="B9" t="s">
        <v>37</v>
      </c>
      <c r="C9" s="12">
        <v>27.377102475916711</v>
      </c>
      <c r="D9" s="12">
        <v>27.613568736361835</v>
      </c>
      <c r="E9" s="12">
        <v>28.119959232479193</v>
      </c>
      <c r="F9" s="12">
        <v>28.24850614405009</v>
      </c>
      <c r="G9" s="12">
        <v>27.993773216678825</v>
      </c>
      <c r="H9" s="12">
        <v>27.812840519982153</v>
      </c>
      <c r="I9" s="12">
        <v>27.486609799642924</v>
      </c>
      <c r="K9" s="14" t="s">
        <v>49</v>
      </c>
      <c r="L9" s="12">
        <v>61.1</v>
      </c>
      <c r="M9" s="12">
        <v>164</v>
      </c>
      <c r="N9" s="12">
        <v>22.717132659131472</v>
      </c>
      <c r="O9" s="12">
        <v>106</v>
      </c>
      <c r="P9" s="12">
        <v>71.666666666666671</v>
      </c>
      <c r="Q9" s="12">
        <v>86.59999999999998</v>
      </c>
      <c r="R9" s="12">
        <v>177.5</v>
      </c>
      <c r="S9" s="12">
        <v>27.486609799642924</v>
      </c>
      <c r="T9" s="12">
        <v>97.666666666666671</v>
      </c>
      <c r="U9" s="12">
        <v>61.666666666666664</v>
      </c>
      <c r="V9" s="12">
        <v>53.6</v>
      </c>
      <c r="W9" s="12">
        <v>159.1</v>
      </c>
      <c r="X9" s="12">
        <v>21.175049312976316</v>
      </c>
      <c r="Y9" s="12">
        <v>105.66666666666667</v>
      </c>
      <c r="Z9" s="12">
        <v>71</v>
      </c>
      <c r="AA9" s="12">
        <v>77.900000000000006</v>
      </c>
      <c r="AB9" s="12">
        <v>171.03333333333333</v>
      </c>
      <c r="AC9" s="12">
        <v>26.630292571234705</v>
      </c>
      <c r="AD9" s="12">
        <v>117.66666666666667</v>
      </c>
      <c r="AE9" s="12">
        <v>78</v>
      </c>
      <c r="AF9" s="12">
        <v>72.7</v>
      </c>
      <c r="AG9" s="12">
        <v>173.7</v>
      </c>
      <c r="AH9" s="12">
        <v>24.095435157924534</v>
      </c>
      <c r="AI9" s="12">
        <v>115.66666666666667</v>
      </c>
      <c r="AJ9" s="12">
        <v>75.333333333333329</v>
      </c>
      <c r="AK9" s="12">
        <v>75.13333333333334</v>
      </c>
      <c r="AL9" s="12">
        <v>179.7</v>
      </c>
      <c r="AM9" s="12">
        <v>23.266791754059074</v>
      </c>
      <c r="AN9" s="12">
        <v>120</v>
      </c>
      <c r="AO9" s="12">
        <v>72.333333333333329</v>
      </c>
      <c r="AP9" s="12">
        <v>88.933333333333337</v>
      </c>
      <c r="AQ9" s="12">
        <v>171.1</v>
      </c>
      <c r="AR9" s="12">
        <v>30.378375879569557</v>
      </c>
      <c r="AS9" s="12">
        <v>117.66666666666667</v>
      </c>
      <c r="AT9" s="12">
        <v>71</v>
      </c>
      <c r="AU9" s="12">
        <v>59.20000000000001</v>
      </c>
      <c r="AV9" s="12">
        <v>151.69999999999999</v>
      </c>
      <c r="AW9" s="12">
        <v>25.724713410614669</v>
      </c>
      <c r="AX9" s="12">
        <v>113</v>
      </c>
      <c r="AY9" s="12">
        <v>76.333333333333329</v>
      </c>
      <c r="AZ9" s="12">
        <v>74.233333333333334</v>
      </c>
      <c r="BA9" s="12">
        <v>153.9</v>
      </c>
      <c r="BB9" s="12">
        <v>31.34164034574037</v>
      </c>
      <c r="BC9" s="12">
        <v>124.66666666666667</v>
      </c>
      <c r="BD9" s="12">
        <v>83.666666666666671</v>
      </c>
      <c r="BE9" s="12">
        <v>65.2</v>
      </c>
      <c r="BF9" s="12">
        <v>161</v>
      </c>
      <c r="BG9" s="12">
        <v>25.153350565178812</v>
      </c>
      <c r="BH9" s="12">
        <v>108.33333333333333</v>
      </c>
      <c r="BI9" s="12">
        <v>72.333333333333329</v>
      </c>
      <c r="BJ9" s="12">
        <v>81.5</v>
      </c>
      <c r="BK9" s="12">
        <v>188.2</v>
      </c>
      <c r="BL9" s="12">
        <v>23.010092819608783</v>
      </c>
      <c r="BM9" s="12">
        <v>118.33333333333333</v>
      </c>
      <c r="BN9" s="12">
        <v>76.333333333333329</v>
      </c>
      <c r="BO9" s="12">
        <v>74.900000000000006</v>
      </c>
      <c r="BP9" s="12">
        <v>166</v>
      </c>
      <c r="BQ9" s="12">
        <v>27.181013209464368</v>
      </c>
      <c r="BR9" s="12">
        <v>119.33333333333333</v>
      </c>
      <c r="BS9" s="12">
        <v>85.666666666666671</v>
      </c>
      <c r="BT9" s="12">
        <v>67.8</v>
      </c>
      <c r="BU9" s="12">
        <v>165.9</v>
      </c>
      <c r="BV9" s="12">
        <v>24.634112577894481</v>
      </c>
      <c r="BW9" s="12">
        <v>114</v>
      </c>
      <c r="BX9" s="12">
        <v>77.333333333333329</v>
      </c>
      <c r="BY9" s="12">
        <v>86.8</v>
      </c>
      <c r="BZ9" s="12">
        <v>173.5</v>
      </c>
      <c r="CA9" s="12">
        <v>28.835053858100306</v>
      </c>
      <c r="CB9" s="12">
        <v>109.66666666666667</v>
      </c>
      <c r="CC9" s="12">
        <v>73</v>
      </c>
      <c r="CD9" s="12">
        <v>86.40000000000002</v>
      </c>
      <c r="CE9" s="12">
        <v>169.3</v>
      </c>
      <c r="CF9" s="12">
        <v>30.143926783751173</v>
      </c>
      <c r="CG9" s="12">
        <v>115.66666666666667</v>
      </c>
      <c r="CH9" s="12">
        <v>76.333333333333329</v>
      </c>
      <c r="CI9" s="12">
        <v>63.6</v>
      </c>
      <c r="CJ9" s="12">
        <v>170.2</v>
      </c>
      <c r="CK9" s="12">
        <v>21.955230661100995</v>
      </c>
      <c r="CL9" s="12">
        <v>113.66666666666667</v>
      </c>
      <c r="CM9" s="12">
        <v>72</v>
      </c>
      <c r="CN9" s="12">
        <v>89.59999999999998</v>
      </c>
      <c r="CO9" s="12">
        <v>182.46666666666667</v>
      </c>
      <c r="CP9" s="12">
        <v>26.911687615110534</v>
      </c>
      <c r="CQ9" s="12">
        <v>113.33333333333333</v>
      </c>
      <c r="CR9" s="12">
        <v>70</v>
      </c>
      <c r="CS9" s="12">
        <v>74.8</v>
      </c>
      <c r="CT9" s="12">
        <v>161.6</v>
      </c>
      <c r="CU9" s="12">
        <v>28.643025193608473</v>
      </c>
      <c r="CV9" s="12">
        <v>112</v>
      </c>
      <c r="CW9" s="12">
        <v>75</v>
      </c>
      <c r="CX9" s="12">
        <v>77.5</v>
      </c>
      <c r="CY9" s="12">
        <v>176</v>
      </c>
      <c r="CZ9" s="12">
        <v>25.019369834710744</v>
      </c>
      <c r="DA9" s="12">
        <v>123.33333333333333</v>
      </c>
      <c r="DB9" s="12">
        <v>75</v>
      </c>
      <c r="DC9" s="12">
        <v>73.150000000000006</v>
      </c>
      <c r="DD9" s="12">
        <v>170.8</v>
      </c>
      <c r="DE9" s="12">
        <v>25.074864667716046</v>
      </c>
      <c r="DF9" s="12">
        <v>105.66666666666667</v>
      </c>
      <c r="DG9" s="12">
        <v>69.333333333333329</v>
      </c>
    </row>
    <row r="10" spans="1:111" x14ac:dyDescent="0.2">
      <c r="B10" t="s">
        <v>51</v>
      </c>
      <c r="C10" s="12">
        <v>96.666666666666671</v>
      </c>
      <c r="D10" s="12">
        <v>109.33333333333333</v>
      </c>
      <c r="E10" s="12">
        <v>96.666666666666671</v>
      </c>
      <c r="F10" s="12">
        <v>104.66666666666667</v>
      </c>
      <c r="G10" s="12">
        <v>102.66666666666667</v>
      </c>
      <c r="H10" s="12">
        <v>111.33333333333333</v>
      </c>
      <c r="I10" s="12">
        <v>97.666666666666671</v>
      </c>
    </row>
    <row r="11" spans="1:111" x14ac:dyDescent="0.2">
      <c r="B11" t="s">
        <v>50</v>
      </c>
      <c r="C11" s="12">
        <v>60.333333333333336</v>
      </c>
      <c r="D11" s="12">
        <v>65.333333333333329</v>
      </c>
      <c r="E11" s="12">
        <v>59.666666666666664</v>
      </c>
      <c r="F11" s="12">
        <v>64.666666666666671</v>
      </c>
      <c r="G11" s="12">
        <v>65.333333333333329</v>
      </c>
      <c r="H11" s="12">
        <v>71.333333333333329</v>
      </c>
      <c r="I11" s="12">
        <v>61.666666666666664</v>
      </c>
    </row>
    <row r="12" spans="1:111" x14ac:dyDescent="0.2">
      <c r="A12">
        <v>203</v>
      </c>
      <c r="B12" t="s">
        <v>35</v>
      </c>
      <c r="C12" s="12">
        <v>56</v>
      </c>
      <c r="D12" s="12">
        <v>55.033333333333331</v>
      </c>
      <c r="E12" s="12">
        <v>55.366666666666667</v>
      </c>
      <c r="F12" s="12">
        <v>55.766666666666673</v>
      </c>
      <c r="G12" s="12">
        <v>55.6</v>
      </c>
      <c r="H12" s="12">
        <v>54.466666666666669</v>
      </c>
      <c r="I12" s="12">
        <v>53.6</v>
      </c>
    </row>
    <row r="13" spans="1:111" x14ac:dyDescent="0.2">
      <c r="B13" t="s">
        <v>36</v>
      </c>
      <c r="C13" s="12">
        <v>160</v>
      </c>
      <c r="D13" s="12">
        <v>159.36666666666667</v>
      </c>
      <c r="E13" s="12">
        <v>157.9</v>
      </c>
      <c r="F13" s="12">
        <v>158.69999999999999</v>
      </c>
      <c r="G13" s="12">
        <v>158.9</v>
      </c>
      <c r="H13" s="12">
        <v>159.1</v>
      </c>
      <c r="I13" s="12">
        <v>159.1</v>
      </c>
    </row>
    <row r="14" spans="1:111" x14ac:dyDescent="0.2">
      <c r="B14" t="s">
        <v>37</v>
      </c>
      <c r="C14" s="12">
        <v>21.874999999999996</v>
      </c>
      <c r="D14" s="12">
        <v>21.66859939957024</v>
      </c>
      <c r="E14" s="12">
        <v>22.206704713530169</v>
      </c>
      <c r="F14" s="12">
        <v>22.142203237896869</v>
      </c>
      <c r="G14" s="12">
        <v>22.020490938132323</v>
      </c>
      <c r="H14" s="12">
        <v>21.517431951121456</v>
      </c>
      <c r="I14" s="12">
        <v>21.175049312976316</v>
      </c>
    </row>
    <row r="15" spans="1:111" x14ac:dyDescent="0.2">
      <c r="B15" t="s">
        <v>51</v>
      </c>
      <c r="C15" s="12">
        <v>113.66666666666667</v>
      </c>
      <c r="D15" s="12">
        <v>107.33333333333333</v>
      </c>
      <c r="E15" s="12">
        <v>106.66666666666667</v>
      </c>
      <c r="F15" s="12">
        <v>105.33333333333333</v>
      </c>
      <c r="G15" s="12">
        <v>105</v>
      </c>
      <c r="H15" s="12">
        <v>102</v>
      </c>
      <c r="I15" s="12">
        <v>105.66666666666667</v>
      </c>
    </row>
    <row r="16" spans="1:111" x14ac:dyDescent="0.2">
      <c r="B16" t="s">
        <v>50</v>
      </c>
      <c r="C16" s="12">
        <v>71</v>
      </c>
      <c r="D16" s="12">
        <v>71.666666666666671</v>
      </c>
      <c r="E16" s="12">
        <v>70</v>
      </c>
      <c r="F16" s="12">
        <v>68.666666666666671</v>
      </c>
      <c r="G16" s="12">
        <v>70.333333333333329</v>
      </c>
      <c r="H16" s="12">
        <v>66</v>
      </c>
      <c r="I16" s="12">
        <v>71</v>
      </c>
    </row>
    <row r="17" spans="1:9" x14ac:dyDescent="0.2">
      <c r="A17">
        <v>204</v>
      </c>
      <c r="B17" t="s">
        <v>35</v>
      </c>
      <c r="C17" s="12">
        <v>77.783333333333346</v>
      </c>
      <c r="D17" s="12">
        <v>78.2</v>
      </c>
      <c r="E17" s="12">
        <v>78.166666666666671</v>
      </c>
      <c r="F17" s="12">
        <v>78.099999999999994</v>
      </c>
      <c r="G17" s="12">
        <v>77.900000000000006</v>
      </c>
      <c r="H17" s="12">
        <v>78.400000000000006</v>
      </c>
      <c r="I17" s="12">
        <v>77.900000000000006</v>
      </c>
    </row>
    <row r="18" spans="1:9" x14ac:dyDescent="0.2">
      <c r="B18" t="s">
        <v>36</v>
      </c>
      <c r="C18" s="12">
        <v>170.6</v>
      </c>
      <c r="D18" s="12">
        <v>171</v>
      </c>
      <c r="E18" s="12">
        <v>171.1</v>
      </c>
      <c r="F18" s="12">
        <v>171.1</v>
      </c>
      <c r="G18" s="12">
        <v>171.19999999999996</v>
      </c>
      <c r="H18" s="12">
        <v>171.6</v>
      </c>
      <c r="I18" s="12">
        <v>171.03333333333333</v>
      </c>
    </row>
    <row r="19" spans="1:9" x14ac:dyDescent="0.2">
      <c r="B19" t="s">
        <v>37</v>
      </c>
      <c r="C19" s="12">
        <v>26.725663554647259</v>
      </c>
      <c r="D19" s="12">
        <v>26.743271433945491</v>
      </c>
      <c r="E19" s="12">
        <v>26.700633972110424</v>
      </c>
      <c r="F19" s="12">
        <v>26.677861576398598</v>
      </c>
      <c r="G19" s="12">
        <v>26.57846755175126</v>
      </c>
      <c r="H19" s="12">
        <v>26.62450214897768</v>
      </c>
      <c r="I19" s="12">
        <v>26.630292571234705</v>
      </c>
    </row>
    <row r="20" spans="1:9" x14ac:dyDescent="0.2">
      <c r="B20" t="s">
        <v>51</v>
      </c>
      <c r="C20" s="12">
        <v>113.66666666666667</v>
      </c>
      <c r="D20" s="12">
        <v>111.33333333333333</v>
      </c>
      <c r="E20" s="12">
        <v>105</v>
      </c>
      <c r="F20" s="12">
        <v>113.66666666666667</v>
      </c>
      <c r="G20" s="12">
        <v>108</v>
      </c>
      <c r="H20" s="12">
        <v>107.33333333333333</v>
      </c>
      <c r="I20" s="12">
        <v>117.66666666666667</v>
      </c>
    </row>
    <row r="21" spans="1:9" x14ac:dyDescent="0.2">
      <c r="B21" t="s">
        <v>50</v>
      </c>
      <c r="C21" s="12">
        <v>73.333333333333329</v>
      </c>
      <c r="D21" s="12">
        <v>72</v>
      </c>
      <c r="E21" s="12">
        <v>72.333333333333329</v>
      </c>
      <c r="F21" s="12">
        <v>74.666666666666671</v>
      </c>
      <c r="G21" s="12">
        <v>71.666666666666671</v>
      </c>
      <c r="H21" s="12">
        <v>72.333333333333329</v>
      </c>
      <c r="I21" s="12">
        <v>78</v>
      </c>
    </row>
    <row r="22" spans="1:9" x14ac:dyDescent="0.2">
      <c r="A22">
        <v>205</v>
      </c>
      <c r="B22" t="s">
        <v>35</v>
      </c>
      <c r="C22" s="12">
        <v>73.86666666666666</v>
      </c>
      <c r="D22" s="12">
        <v>73</v>
      </c>
      <c r="E22" s="12">
        <v>73.8</v>
      </c>
      <c r="F22" s="12">
        <v>74.033333333333331</v>
      </c>
      <c r="G22" s="12">
        <v>72.333333333333329</v>
      </c>
      <c r="H22" s="12">
        <v>72.599999999999994</v>
      </c>
      <c r="I22" s="12">
        <v>72.7</v>
      </c>
    </row>
    <row r="23" spans="1:9" x14ac:dyDescent="0.2">
      <c r="B23" t="s">
        <v>36</v>
      </c>
      <c r="C23" s="12">
        <v>173.7</v>
      </c>
      <c r="D23" s="12">
        <v>173.5</v>
      </c>
      <c r="E23" s="12">
        <v>173.8</v>
      </c>
      <c r="F23" s="12">
        <v>173.69999999999996</v>
      </c>
      <c r="G23" s="12">
        <v>173.4</v>
      </c>
      <c r="H23" s="12">
        <v>173.3</v>
      </c>
      <c r="I23" s="12">
        <v>173.7</v>
      </c>
    </row>
    <row r="24" spans="1:9" x14ac:dyDescent="0.2">
      <c r="B24" t="s">
        <v>37</v>
      </c>
      <c r="C24" s="12">
        <v>24.482111100394665</v>
      </c>
      <c r="D24" s="12">
        <v>24.250678935959936</v>
      </c>
      <c r="E24" s="12">
        <v>24.431876116483764</v>
      </c>
      <c r="F24" s="12">
        <v>24.537350520747548</v>
      </c>
      <c r="G24" s="12">
        <v>24.056934893730432</v>
      </c>
      <c r="H24" s="12">
        <v>24.173497788591103</v>
      </c>
      <c r="I24" s="12">
        <v>24.095435157924534</v>
      </c>
    </row>
    <row r="25" spans="1:9" x14ac:dyDescent="0.2">
      <c r="B25" t="s">
        <v>51</v>
      </c>
      <c r="C25" s="12">
        <v>120.66666666666667</v>
      </c>
      <c r="D25" s="12">
        <v>122</v>
      </c>
      <c r="E25" s="12">
        <v>115.33333333333333</v>
      </c>
      <c r="F25" s="12">
        <v>125.33333333333333</v>
      </c>
      <c r="G25" s="12">
        <v>116</v>
      </c>
      <c r="H25" s="12">
        <v>112.66666666666667</v>
      </c>
      <c r="I25" s="12">
        <v>115.66666666666667</v>
      </c>
    </row>
    <row r="26" spans="1:9" x14ac:dyDescent="0.2">
      <c r="B26" t="s">
        <v>50</v>
      </c>
      <c r="C26" s="12">
        <v>80</v>
      </c>
      <c r="D26" s="12">
        <v>79.666666666666671</v>
      </c>
      <c r="E26" s="12">
        <v>78.333333333333329</v>
      </c>
      <c r="F26" s="12">
        <v>81.333333333333329</v>
      </c>
      <c r="G26" s="12">
        <v>76</v>
      </c>
      <c r="H26" s="12">
        <v>76</v>
      </c>
      <c r="I26" s="12">
        <v>75.333333333333329</v>
      </c>
    </row>
    <row r="27" spans="1:9" x14ac:dyDescent="0.2">
      <c r="A27">
        <v>206</v>
      </c>
      <c r="B27" t="s">
        <v>35</v>
      </c>
      <c r="C27" s="12">
        <v>77.8</v>
      </c>
      <c r="D27" s="12">
        <v>75.966666666666669</v>
      </c>
      <c r="E27" s="12">
        <v>76</v>
      </c>
      <c r="F27" s="12">
        <v>75.7</v>
      </c>
      <c r="G27" s="12">
        <v>75.033333333333331</v>
      </c>
      <c r="H27" s="12">
        <v>74.900000000000006</v>
      </c>
      <c r="I27" s="12">
        <v>75.13333333333334</v>
      </c>
    </row>
    <row r="28" spans="1:9" x14ac:dyDescent="0.2">
      <c r="B28" t="s">
        <v>36</v>
      </c>
      <c r="C28" s="12">
        <v>180</v>
      </c>
      <c r="D28" s="12">
        <v>179.6</v>
      </c>
      <c r="E28" s="12">
        <v>179.76666666666665</v>
      </c>
      <c r="F28" s="12">
        <v>179.5</v>
      </c>
      <c r="G28" s="12">
        <v>179.46666666666667</v>
      </c>
      <c r="H28" s="12">
        <v>179.30000000000004</v>
      </c>
      <c r="I28" s="12">
        <v>179.7</v>
      </c>
    </row>
    <row r="29" spans="1:9" x14ac:dyDescent="0.2">
      <c r="B29" t="s">
        <v>37</v>
      </c>
      <c r="C29" s="12">
        <v>24.012345679012345</v>
      </c>
      <c r="D29" s="12">
        <v>23.551057121079097</v>
      </c>
      <c r="E29" s="12">
        <v>23.517722477740598</v>
      </c>
      <c r="F29" s="12">
        <v>23.49454147624553</v>
      </c>
      <c r="G29" s="12">
        <v>23.296283744251305</v>
      </c>
      <c r="H29" s="12">
        <v>23.298139352734754</v>
      </c>
      <c r="I29" s="12">
        <v>23.266791754059074</v>
      </c>
    </row>
    <row r="30" spans="1:9" x14ac:dyDescent="0.2">
      <c r="B30" t="s">
        <v>51</v>
      </c>
      <c r="C30" s="12">
        <v>124</v>
      </c>
      <c r="D30" s="12">
        <v>125.33333333333333</v>
      </c>
      <c r="E30" s="12">
        <v>128.33333333333334</v>
      </c>
      <c r="F30" s="12">
        <v>108.33333333333333</v>
      </c>
      <c r="G30" s="12">
        <v>117.66666666666667</v>
      </c>
      <c r="H30" s="12">
        <v>115.66666666666667</v>
      </c>
      <c r="I30" s="12">
        <v>120</v>
      </c>
    </row>
    <row r="31" spans="1:9" x14ac:dyDescent="0.2">
      <c r="B31" t="s">
        <v>50</v>
      </c>
      <c r="C31" s="12">
        <v>70.666666666666671</v>
      </c>
      <c r="D31" s="12">
        <v>70.666666666666671</v>
      </c>
      <c r="E31" s="12">
        <v>75.333333333333329</v>
      </c>
      <c r="F31" s="12">
        <v>68</v>
      </c>
      <c r="G31" s="12">
        <v>73.666666666666671</v>
      </c>
      <c r="H31" s="12">
        <v>70</v>
      </c>
      <c r="I31" s="12">
        <v>72.333333333333329</v>
      </c>
    </row>
    <row r="32" spans="1:9" x14ac:dyDescent="0.2">
      <c r="A32">
        <v>208</v>
      </c>
      <c r="B32" t="s">
        <v>35</v>
      </c>
      <c r="C32" s="12">
        <v>88.433333333333337</v>
      </c>
      <c r="D32" s="12">
        <v>87.2</v>
      </c>
      <c r="E32" s="12">
        <v>87.533333333333346</v>
      </c>
      <c r="F32" s="12">
        <v>87</v>
      </c>
      <c r="G32" s="12">
        <v>88.2</v>
      </c>
      <c r="H32" s="12">
        <v>88.433333333333337</v>
      </c>
      <c r="I32" s="12">
        <v>88.933333333333337</v>
      </c>
    </row>
    <row r="33" spans="1:9" x14ac:dyDescent="0.2">
      <c r="B33" t="s">
        <v>36</v>
      </c>
      <c r="C33" s="12">
        <v>170.9</v>
      </c>
      <c r="D33" s="12">
        <v>170.7</v>
      </c>
      <c r="E33" s="12">
        <v>170.6</v>
      </c>
      <c r="F33" s="12">
        <v>170.9</v>
      </c>
      <c r="G33" s="12">
        <v>171</v>
      </c>
      <c r="H33" s="12">
        <v>171</v>
      </c>
      <c r="I33" s="12">
        <v>171.1</v>
      </c>
    </row>
    <row r="34" spans="1:9" x14ac:dyDescent="0.2">
      <c r="B34" t="s">
        <v>37</v>
      </c>
      <c r="C34" s="12">
        <v>30.27832664140087</v>
      </c>
      <c r="D34" s="12">
        <v>29.926053134530999</v>
      </c>
      <c r="E34" s="12">
        <v>30.075677092137862</v>
      </c>
      <c r="F34" s="12">
        <v>29.787573514533083</v>
      </c>
      <c r="G34" s="12">
        <v>30.163127116035707</v>
      </c>
      <c r="H34" s="12">
        <v>30.242923748617812</v>
      </c>
      <c r="I34" s="12">
        <v>30.378375879569557</v>
      </c>
    </row>
    <row r="35" spans="1:9" x14ac:dyDescent="0.2">
      <c r="B35" t="s">
        <v>51</v>
      </c>
      <c r="C35" s="12">
        <v>120</v>
      </c>
      <c r="D35" s="12">
        <v>119.66666666666667</v>
      </c>
      <c r="E35" s="12">
        <v>110.33333333333333</v>
      </c>
      <c r="F35" s="12">
        <v>107.66666666666667</v>
      </c>
      <c r="G35" s="12">
        <v>114.66666666666667</v>
      </c>
      <c r="H35" s="12">
        <v>115.33333333333333</v>
      </c>
      <c r="I35" s="12">
        <v>117.66666666666667</v>
      </c>
    </row>
    <row r="36" spans="1:9" x14ac:dyDescent="0.2">
      <c r="B36" t="s">
        <v>50</v>
      </c>
      <c r="C36" s="12">
        <v>74.666666666666671</v>
      </c>
      <c r="D36" s="12">
        <v>75</v>
      </c>
      <c r="E36" s="12">
        <v>69.666666666666671</v>
      </c>
      <c r="F36" s="12">
        <v>68</v>
      </c>
      <c r="G36" s="12">
        <v>72</v>
      </c>
      <c r="H36" s="12">
        <v>74</v>
      </c>
      <c r="I36" s="12">
        <v>71</v>
      </c>
    </row>
    <row r="37" spans="1:9" x14ac:dyDescent="0.2">
      <c r="A37">
        <v>209</v>
      </c>
      <c r="B37" t="s">
        <v>35</v>
      </c>
      <c r="C37" s="12">
        <v>59.4</v>
      </c>
      <c r="D37" s="12">
        <v>58.466666666666669</v>
      </c>
      <c r="E37" s="12">
        <v>58.4</v>
      </c>
      <c r="F37" s="12">
        <v>58.20000000000001</v>
      </c>
      <c r="G37" s="12">
        <v>58.20000000000001</v>
      </c>
      <c r="H37" s="12">
        <v>59.5</v>
      </c>
      <c r="I37" s="12">
        <v>59.20000000000001</v>
      </c>
    </row>
    <row r="38" spans="1:9" x14ac:dyDescent="0.2">
      <c r="B38" t="s">
        <v>36</v>
      </c>
      <c r="C38" s="12">
        <v>152.6</v>
      </c>
      <c r="D38" s="12">
        <v>151.53333333333333</v>
      </c>
      <c r="E38" s="12">
        <v>151.80000000000001</v>
      </c>
      <c r="F38" s="12">
        <v>151.5</v>
      </c>
      <c r="G38" s="12">
        <v>151.4</v>
      </c>
      <c r="H38" s="12">
        <v>151.5</v>
      </c>
      <c r="I38" s="12">
        <v>151.69999999999999</v>
      </c>
    </row>
    <row r="39" spans="1:9" x14ac:dyDescent="0.2">
      <c r="B39" t="s">
        <v>37</v>
      </c>
      <c r="C39" s="12">
        <v>25.508056938792684</v>
      </c>
      <c r="D39" s="12">
        <v>25.461968760845046</v>
      </c>
      <c r="E39" s="12">
        <v>25.34365827027796</v>
      </c>
      <c r="F39" s="12">
        <v>25.356991144659027</v>
      </c>
      <c r="G39" s="12">
        <v>25.390498892764846</v>
      </c>
      <c r="H39" s="12">
        <v>25.923384417649686</v>
      </c>
      <c r="I39" s="12">
        <v>25.724713410614669</v>
      </c>
    </row>
    <row r="40" spans="1:9" x14ac:dyDescent="0.2">
      <c r="B40" t="s">
        <v>51</v>
      </c>
      <c r="C40" s="12">
        <v>110.33333333333333</v>
      </c>
      <c r="D40" s="12">
        <v>107</v>
      </c>
      <c r="E40" s="12">
        <v>109.33333333333333</v>
      </c>
      <c r="F40" s="12">
        <v>108.66666666666667</v>
      </c>
      <c r="G40" s="12">
        <v>111</v>
      </c>
      <c r="H40" s="12">
        <v>107.66666666666667</v>
      </c>
      <c r="I40" s="12">
        <v>113</v>
      </c>
    </row>
    <row r="41" spans="1:9" x14ac:dyDescent="0.2">
      <c r="B41" t="s">
        <v>50</v>
      </c>
      <c r="C41" s="12">
        <v>75.666666666666671</v>
      </c>
      <c r="D41" s="12">
        <v>73</v>
      </c>
      <c r="E41" s="12">
        <v>75.333333333333329</v>
      </c>
      <c r="F41" s="12">
        <v>73.333333333333329</v>
      </c>
      <c r="G41" s="12">
        <v>77</v>
      </c>
      <c r="H41" s="12">
        <v>72.666666666666671</v>
      </c>
      <c r="I41" s="12">
        <v>76.333333333333329</v>
      </c>
    </row>
    <row r="42" spans="1:9" x14ac:dyDescent="0.2">
      <c r="A42">
        <v>210</v>
      </c>
      <c r="B42" t="s">
        <v>35</v>
      </c>
      <c r="C42" s="12">
        <v>76.7</v>
      </c>
      <c r="D42" s="12">
        <v>77.400000000000006</v>
      </c>
      <c r="E42" s="12">
        <v>75.8</v>
      </c>
      <c r="F42" s="12">
        <v>77.7</v>
      </c>
      <c r="G42" s="12">
        <v>77.099999999999994</v>
      </c>
      <c r="H42" s="12">
        <v>75.8</v>
      </c>
      <c r="I42" s="12">
        <v>74.233333333333334</v>
      </c>
    </row>
    <row r="43" spans="1:9" x14ac:dyDescent="0.2">
      <c r="B43" t="s">
        <v>36</v>
      </c>
      <c r="C43" s="12">
        <v>154.19999999999999</v>
      </c>
      <c r="D43" s="12">
        <v>155.26666666666668</v>
      </c>
      <c r="E43" s="12">
        <v>153.9</v>
      </c>
      <c r="F43" s="12">
        <v>154.03333333333333</v>
      </c>
      <c r="G43" s="12">
        <v>153.9</v>
      </c>
      <c r="H43" s="12">
        <v>154.1</v>
      </c>
      <c r="I43" s="12">
        <v>153.9</v>
      </c>
    </row>
    <row r="44" spans="1:9" x14ac:dyDescent="0.2">
      <c r="B44" t="s">
        <v>37</v>
      </c>
      <c r="C44" s="12">
        <v>32.257196256651213</v>
      </c>
      <c r="D44" s="12">
        <v>32.105874351821754</v>
      </c>
      <c r="E44" s="12">
        <v>32.003093913881273</v>
      </c>
      <c r="F44" s="12">
        <v>32.748513473650704</v>
      </c>
      <c r="G44" s="12">
        <v>32.55195964063649</v>
      </c>
      <c r="H44" s="12">
        <v>31.920076844005575</v>
      </c>
      <c r="I44" s="12">
        <v>31.34164034574037</v>
      </c>
    </row>
    <row r="45" spans="1:9" x14ac:dyDescent="0.2">
      <c r="B45" t="s">
        <v>51</v>
      </c>
      <c r="C45" s="12">
        <v>127.66666666666667</v>
      </c>
      <c r="D45" s="12">
        <v>121</v>
      </c>
      <c r="E45" s="12">
        <v>117.33333333333333</v>
      </c>
      <c r="F45" s="12">
        <v>115.66666666666667</v>
      </c>
      <c r="G45" s="12">
        <v>125</v>
      </c>
      <c r="H45" s="12">
        <v>115</v>
      </c>
      <c r="I45" s="12">
        <v>124.66666666666667</v>
      </c>
    </row>
    <row r="46" spans="1:9" x14ac:dyDescent="0.2">
      <c r="B46" t="s">
        <v>50</v>
      </c>
      <c r="C46" s="12">
        <v>82.666666666666671</v>
      </c>
      <c r="D46" s="12">
        <v>83.666666666666671</v>
      </c>
      <c r="E46" s="12">
        <v>79</v>
      </c>
      <c r="F46" s="12">
        <v>79</v>
      </c>
      <c r="G46" s="12">
        <v>84.333333333333329</v>
      </c>
      <c r="H46" s="12">
        <v>76.666666666666671</v>
      </c>
      <c r="I46" s="12">
        <v>83.666666666666671</v>
      </c>
    </row>
    <row r="47" spans="1:9" x14ac:dyDescent="0.2">
      <c r="A47">
        <v>211</v>
      </c>
      <c r="B47" t="s">
        <v>35</v>
      </c>
      <c r="C47" s="12">
        <v>64.066666666666663</v>
      </c>
      <c r="D47" s="12">
        <v>65.099999999999994</v>
      </c>
      <c r="E47" s="12">
        <v>65.8</v>
      </c>
      <c r="F47" s="12">
        <v>65.36666666666666</v>
      </c>
      <c r="G47" s="12">
        <v>65.2</v>
      </c>
      <c r="H47" s="12">
        <v>66.433333333333337</v>
      </c>
      <c r="I47" s="12">
        <v>65.2</v>
      </c>
    </row>
    <row r="48" spans="1:9" x14ac:dyDescent="0.2">
      <c r="B48" t="s">
        <v>36</v>
      </c>
      <c r="C48" s="12">
        <v>160.5</v>
      </c>
      <c r="D48" s="12">
        <v>161.1</v>
      </c>
      <c r="E48" s="12">
        <v>160.69999999999999</v>
      </c>
      <c r="F48" s="12">
        <v>160.93333333333334</v>
      </c>
      <c r="G48" s="12">
        <v>160.4</v>
      </c>
      <c r="H48" s="12">
        <v>161.23333333333332</v>
      </c>
      <c r="I48" s="12">
        <v>161</v>
      </c>
    </row>
    <row r="49" spans="1:9" x14ac:dyDescent="0.2">
      <c r="B49" t="s">
        <v>37</v>
      </c>
      <c r="C49" s="12">
        <v>24.870359048016486</v>
      </c>
      <c r="D49" s="12">
        <v>25.083602375197518</v>
      </c>
      <c r="E49" s="12">
        <v>25.479690015175517</v>
      </c>
      <c r="F49" s="12">
        <v>25.238545655726845</v>
      </c>
      <c r="G49" s="12">
        <v>25.341882202225108</v>
      </c>
      <c r="H49" s="12">
        <v>25.555029030111218</v>
      </c>
      <c r="I49" s="12">
        <v>25.153350565178812</v>
      </c>
    </row>
    <row r="50" spans="1:9" x14ac:dyDescent="0.2">
      <c r="B50" t="s">
        <v>51</v>
      </c>
      <c r="C50" s="12">
        <v>112.33333333333333</v>
      </c>
      <c r="D50" s="12">
        <v>112.33333333333333</v>
      </c>
      <c r="E50" s="12">
        <v>108.66666666666667</v>
      </c>
      <c r="F50" s="12">
        <v>112</v>
      </c>
      <c r="G50" s="12">
        <v>113.33333333333333</v>
      </c>
      <c r="H50" s="12">
        <v>105</v>
      </c>
      <c r="I50" s="12">
        <v>108.33333333333333</v>
      </c>
    </row>
    <row r="51" spans="1:9" x14ac:dyDescent="0.2">
      <c r="B51" t="s">
        <v>50</v>
      </c>
      <c r="C51" s="12">
        <v>74</v>
      </c>
      <c r="D51" s="12">
        <v>74.666666666666671</v>
      </c>
      <c r="E51" s="12">
        <v>71.666666666666671</v>
      </c>
      <c r="F51" s="12">
        <v>72.666666666666671</v>
      </c>
      <c r="G51" s="12">
        <v>72.666666666666671</v>
      </c>
      <c r="H51" s="12">
        <v>72</v>
      </c>
      <c r="I51" s="12">
        <v>72.333333333333329</v>
      </c>
    </row>
    <row r="52" spans="1:9" x14ac:dyDescent="0.2">
      <c r="A52">
        <v>213</v>
      </c>
      <c r="B52" t="s">
        <v>35</v>
      </c>
      <c r="C52" s="12">
        <v>86.433333333333337</v>
      </c>
      <c r="D52" s="12">
        <v>85.8</v>
      </c>
      <c r="E52" s="12">
        <v>84.5</v>
      </c>
      <c r="F52" s="12">
        <v>82.9</v>
      </c>
      <c r="G52" s="12">
        <v>81.099999999999994</v>
      </c>
      <c r="H52" s="12">
        <v>81.099999999999994</v>
      </c>
      <c r="I52" s="12">
        <v>81.5</v>
      </c>
    </row>
    <row r="53" spans="1:9" x14ac:dyDescent="0.2">
      <c r="B53" t="s">
        <v>36</v>
      </c>
      <c r="C53" s="12">
        <v>188.19999999999996</v>
      </c>
      <c r="D53" s="12">
        <v>188.1</v>
      </c>
      <c r="E53" s="12">
        <v>188.1</v>
      </c>
      <c r="F53" s="12">
        <v>188.13333333333333</v>
      </c>
      <c r="G53" s="12">
        <v>186.3</v>
      </c>
      <c r="H53" s="12">
        <v>187.9</v>
      </c>
      <c r="I53" s="12">
        <v>188.2</v>
      </c>
    </row>
    <row r="54" spans="1:9" x14ac:dyDescent="0.2">
      <c r="B54" t="s">
        <v>37</v>
      </c>
      <c r="C54" s="12">
        <v>24.402932793965473</v>
      </c>
      <c r="D54" s="12">
        <v>24.249885745730619</v>
      </c>
      <c r="E54" s="12">
        <v>23.882463234431672</v>
      </c>
      <c r="F54" s="12">
        <v>23.421948937200423</v>
      </c>
      <c r="G54" s="12">
        <v>23.366579567813353</v>
      </c>
      <c r="H54" s="12">
        <v>22.970333149136373</v>
      </c>
      <c r="I54" s="12">
        <v>23.010092819608783</v>
      </c>
    </row>
    <row r="55" spans="1:9" x14ac:dyDescent="0.2">
      <c r="B55" t="s">
        <v>51</v>
      </c>
      <c r="C55" s="12">
        <v>107</v>
      </c>
      <c r="D55" s="12">
        <v>102.33333333333333</v>
      </c>
      <c r="E55" s="12">
        <v>107.33333333333333</v>
      </c>
      <c r="F55" s="12">
        <v>106.66666666666667</v>
      </c>
      <c r="G55" s="12">
        <v>123</v>
      </c>
      <c r="H55" s="12">
        <v>114</v>
      </c>
      <c r="I55" s="12">
        <v>118.33333333333333</v>
      </c>
    </row>
    <row r="56" spans="1:9" x14ac:dyDescent="0.2">
      <c r="B56" t="s">
        <v>50</v>
      </c>
      <c r="C56" s="12">
        <v>69.333333333333329</v>
      </c>
      <c r="D56" s="12">
        <v>66.333333333333329</v>
      </c>
      <c r="E56" s="12">
        <v>70.333333333333329</v>
      </c>
      <c r="F56" s="12">
        <v>68</v>
      </c>
      <c r="G56" s="12">
        <v>77.666666666666671</v>
      </c>
      <c r="H56" s="12">
        <v>75.666666666666671</v>
      </c>
      <c r="I56" s="12">
        <v>76.333333333333329</v>
      </c>
    </row>
    <row r="57" spans="1:9" x14ac:dyDescent="0.2">
      <c r="A57">
        <v>214</v>
      </c>
      <c r="B57" t="s">
        <v>35</v>
      </c>
      <c r="C57" s="12">
        <v>75.8</v>
      </c>
      <c r="D57" s="12">
        <v>74</v>
      </c>
      <c r="E57" s="12">
        <v>75.7</v>
      </c>
      <c r="F57" s="12">
        <v>75.833333333333329</v>
      </c>
      <c r="G57" s="12">
        <v>75.766666666666666</v>
      </c>
      <c r="H57" s="12">
        <v>77.2</v>
      </c>
      <c r="I57" s="12">
        <v>74.900000000000006</v>
      </c>
    </row>
    <row r="58" spans="1:9" x14ac:dyDescent="0.2">
      <c r="B58" t="s">
        <v>36</v>
      </c>
      <c r="C58" s="12">
        <v>165.1</v>
      </c>
      <c r="D58" s="12">
        <v>165.4</v>
      </c>
      <c r="E58" s="12">
        <v>164.5</v>
      </c>
      <c r="F58" s="12">
        <v>165.6</v>
      </c>
      <c r="G58" s="12">
        <v>164.96666666666667</v>
      </c>
      <c r="H58" s="12">
        <v>164.5</v>
      </c>
      <c r="I58" s="12">
        <v>166</v>
      </c>
    </row>
    <row r="59" spans="1:9" x14ac:dyDescent="0.2">
      <c r="B59" t="s">
        <v>37</v>
      </c>
      <c r="C59" s="12">
        <v>27.808339640347917</v>
      </c>
      <c r="D59" s="12">
        <v>27.049591404955773</v>
      </c>
      <c r="E59" s="12">
        <v>27.974612207943387</v>
      </c>
      <c r="F59" s="12">
        <v>27.652823480905816</v>
      </c>
      <c r="G59" s="12">
        <v>27.841061061665112</v>
      </c>
      <c r="H59" s="12">
        <v>28.528930811799597</v>
      </c>
      <c r="I59" s="12">
        <v>27.181013209464368</v>
      </c>
    </row>
    <row r="60" spans="1:9" x14ac:dyDescent="0.2">
      <c r="B60" t="s">
        <v>51</v>
      </c>
      <c r="C60" s="12">
        <v>121.33333333333333</v>
      </c>
      <c r="D60" s="12">
        <v>116.33333333333333</v>
      </c>
      <c r="E60" s="12">
        <v>128</v>
      </c>
      <c r="F60" s="12">
        <v>112.66666666666667</v>
      </c>
      <c r="G60" s="12">
        <v>111.66666666666667</v>
      </c>
      <c r="H60" s="12">
        <v>127.66666666666667</v>
      </c>
      <c r="I60" s="12">
        <v>119.33333333333333</v>
      </c>
    </row>
    <row r="61" spans="1:9" x14ac:dyDescent="0.2">
      <c r="B61" t="s">
        <v>50</v>
      </c>
      <c r="C61" s="12">
        <v>84.666666666666671</v>
      </c>
      <c r="D61" s="12">
        <v>80.333333333333329</v>
      </c>
      <c r="E61" s="12">
        <v>88.666666666666671</v>
      </c>
      <c r="F61" s="12">
        <v>79</v>
      </c>
      <c r="G61" s="12">
        <v>80.666666666666671</v>
      </c>
      <c r="H61" s="12">
        <v>87</v>
      </c>
      <c r="I61" s="12">
        <v>85.666666666666671</v>
      </c>
    </row>
    <row r="62" spans="1:9" x14ac:dyDescent="0.2">
      <c r="A62">
        <v>215</v>
      </c>
      <c r="B62" t="s">
        <v>35</v>
      </c>
      <c r="C62" s="12">
        <v>67</v>
      </c>
      <c r="D62" s="12">
        <v>67.2</v>
      </c>
      <c r="E62" s="12">
        <v>66.766666666666666</v>
      </c>
      <c r="F62" s="12">
        <v>66.7</v>
      </c>
      <c r="G62" s="12">
        <v>67.8</v>
      </c>
      <c r="H62" s="12">
        <v>67.400000000000006</v>
      </c>
      <c r="I62" s="12">
        <v>67.8</v>
      </c>
    </row>
    <row r="63" spans="1:9" x14ac:dyDescent="0.2">
      <c r="B63" t="s">
        <v>36</v>
      </c>
      <c r="C63" s="12">
        <v>166.46666666666667</v>
      </c>
      <c r="D63" s="12">
        <v>166.1</v>
      </c>
      <c r="E63" s="12">
        <v>165.63333333333333</v>
      </c>
      <c r="F63" s="12">
        <v>165.33333333333334</v>
      </c>
      <c r="G63" s="12">
        <v>166.1</v>
      </c>
      <c r="H63" s="12">
        <v>165.5</v>
      </c>
      <c r="I63" s="12">
        <v>165.9</v>
      </c>
    </row>
    <row r="64" spans="1:9" x14ac:dyDescent="0.2">
      <c r="B64" t="s">
        <v>37</v>
      </c>
      <c r="C64" s="12">
        <v>24.177992365367874</v>
      </c>
      <c r="D64" s="12">
        <v>24.357348398160006</v>
      </c>
      <c r="E64" s="12">
        <v>24.336841324240076</v>
      </c>
      <c r="F64" s="12">
        <v>24.40085197710718</v>
      </c>
      <c r="G64" s="12">
        <v>24.574824723143575</v>
      </c>
      <c r="H64" s="12">
        <v>24.607296391964294</v>
      </c>
      <c r="I64" s="12">
        <v>24.634112577894481</v>
      </c>
    </row>
    <row r="65" spans="1:9" x14ac:dyDescent="0.2">
      <c r="B65" t="s">
        <v>51</v>
      </c>
      <c r="C65" s="12">
        <v>108</v>
      </c>
      <c r="D65" s="12">
        <v>100.66666666666667</v>
      </c>
      <c r="E65" s="12">
        <v>112</v>
      </c>
      <c r="F65" s="12">
        <v>106</v>
      </c>
      <c r="G65" s="12">
        <v>116.66666666666667</v>
      </c>
      <c r="H65" s="12">
        <v>113.33333333333333</v>
      </c>
      <c r="I65" s="12">
        <v>114</v>
      </c>
    </row>
    <row r="66" spans="1:9" x14ac:dyDescent="0.2">
      <c r="B66" t="s">
        <v>50</v>
      </c>
      <c r="C66" s="12">
        <v>73.666666666666671</v>
      </c>
      <c r="D66" s="12">
        <v>65.666666666666671</v>
      </c>
      <c r="E66" s="12">
        <v>74.666666666666671</v>
      </c>
      <c r="F66" s="12">
        <v>71</v>
      </c>
      <c r="G66" s="12">
        <v>77.666666666666671</v>
      </c>
      <c r="H66" s="12">
        <v>75</v>
      </c>
      <c r="I66" s="12">
        <v>77.333333333333329</v>
      </c>
    </row>
    <row r="67" spans="1:9" x14ac:dyDescent="0.2">
      <c r="A67">
        <v>216</v>
      </c>
      <c r="B67" t="s">
        <v>35</v>
      </c>
      <c r="C67" s="12">
        <v>88.90000000000002</v>
      </c>
      <c r="D67" s="12">
        <v>88.3</v>
      </c>
      <c r="E67" s="12">
        <v>88.90000000000002</v>
      </c>
      <c r="F67" s="12">
        <v>88</v>
      </c>
      <c r="G67" s="12">
        <v>86.166666666666671</v>
      </c>
      <c r="H67" s="12">
        <v>86.90000000000002</v>
      </c>
      <c r="I67" s="12">
        <v>86.8</v>
      </c>
    </row>
    <row r="68" spans="1:9" x14ac:dyDescent="0.2">
      <c r="B68" t="s">
        <v>36</v>
      </c>
      <c r="C68" s="12">
        <v>173.19999999999996</v>
      </c>
      <c r="D68" s="12">
        <v>173.63333333333333</v>
      </c>
      <c r="E68" s="12">
        <v>173.9</v>
      </c>
      <c r="F68" s="12">
        <v>173.70000000000002</v>
      </c>
      <c r="G68" s="12">
        <v>173.5</v>
      </c>
      <c r="H68" s="12">
        <v>174</v>
      </c>
      <c r="I68" s="12">
        <v>173.5</v>
      </c>
    </row>
    <row r="69" spans="1:9" x14ac:dyDescent="0.2">
      <c r="B69" t="s">
        <v>37</v>
      </c>
      <c r="C69" s="12">
        <v>29.635071924219577</v>
      </c>
      <c r="D69" s="12">
        <v>29.288322509577672</v>
      </c>
      <c r="E69" s="12">
        <v>29.396971880424097</v>
      </c>
      <c r="F69" s="12">
        <v>29.166413946318549</v>
      </c>
      <c r="G69" s="12">
        <v>28.624659839934445</v>
      </c>
      <c r="H69" s="12">
        <v>28.702602721627699</v>
      </c>
      <c r="I69" s="12">
        <v>28.835053858100306</v>
      </c>
    </row>
    <row r="70" spans="1:9" x14ac:dyDescent="0.2">
      <c r="B70" t="s">
        <v>51</v>
      </c>
      <c r="C70" s="12">
        <v>105</v>
      </c>
      <c r="D70" s="12">
        <v>109.33333333333333</v>
      </c>
      <c r="E70" s="12">
        <v>111.66666666666667</v>
      </c>
      <c r="F70" s="12">
        <v>106.33333333333333</v>
      </c>
      <c r="G70" s="12">
        <v>111</v>
      </c>
      <c r="H70" s="12">
        <v>103</v>
      </c>
      <c r="I70" s="12">
        <v>109.66666666666667</v>
      </c>
    </row>
    <row r="71" spans="1:9" x14ac:dyDescent="0.2">
      <c r="B71" t="s">
        <v>50</v>
      </c>
      <c r="C71" s="12">
        <v>71.666666666666671</v>
      </c>
      <c r="D71" s="12">
        <v>70</v>
      </c>
      <c r="E71" s="12">
        <v>74.666666666666671</v>
      </c>
      <c r="F71" s="12">
        <v>69.333333333333329</v>
      </c>
      <c r="G71" s="12">
        <v>75</v>
      </c>
      <c r="H71" s="12">
        <v>68</v>
      </c>
      <c r="I71" s="12">
        <v>73</v>
      </c>
    </row>
    <row r="72" spans="1:9" x14ac:dyDescent="0.2">
      <c r="A72">
        <v>218</v>
      </c>
      <c r="B72" t="s">
        <v>35</v>
      </c>
      <c r="C72" s="12">
        <v>85.966666666666654</v>
      </c>
      <c r="D72" s="12">
        <v>86.7</v>
      </c>
      <c r="E72" s="12">
        <v>86.7</v>
      </c>
      <c r="F72" s="12">
        <v>86.233333333333334</v>
      </c>
      <c r="G72" s="12">
        <v>86.7</v>
      </c>
      <c r="H72" s="12">
        <v>86.5</v>
      </c>
      <c r="I72" s="12">
        <v>86.40000000000002</v>
      </c>
    </row>
    <row r="73" spans="1:9" x14ac:dyDescent="0.2">
      <c r="B73" t="s">
        <v>36</v>
      </c>
      <c r="C73" s="12">
        <v>170.13333333333333</v>
      </c>
      <c r="D73" s="12">
        <v>170.46666666666667</v>
      </c>
      <c r="E73" s="12">
        <v>170.43333333333331</v>
      </c>
      <c r="F73" s="12">
        <v>170.6</v>
      </c>
      <c r="G73" s="12">
        <v>169.9</v>
      </c>
      <c r="H73" s="12">
        <v>169.7</v>
      </c>
      <c r="I73" s="12">
        <v>169.3</v>
      </c>
    </row>
    <row r="74" spans="1:9" x14ac:dyDescent="0.2">
      <c r="B74" t="s">
        <v>37</v>
      </c>
      <c r="C74" s="12">
        <v>29.699645492870545</v>
      </c>
      <c r="D74" s="12">
        <v>29.83596984452565</v>
      </c>
      <c r="E74" s="12">
        <v>29.847641617458365</v>
      </c>
      <c r="F74" s="12">
        <v>29.629008620472444</v>
      </c>
      <c r="G74" s="12">
        <v>30.035325283958539</v>
      </c>
      <c r="H74" s="12">
        <v>30.036714240423589</v>
      </c>
      <c r="I74" s="12">
        <v>30.143926783751173</v>
      </c>
    </row>
    <row r="75" spans="1:9" x14ac:dyDescent="0.2">
      <c r="B75" t="s">
        <v>51</v>
      </c>
      <c r="C75" s="12">
        <v>112.66666666666667</v>
      </c>
      <c r="D75" s="12">
        <v>105.66666666666667</v>
      </c>
      <c r="E75" s="12">
        <v>114</v>
      </c>
      <c r="F75" s="12">
        <v>113</v>
      </c>
      <c r="G75" s="12">
        <v>115.66666666666667</v>
      </c>
      <c r="H75" s="12">
        <v>116</v>
      </c>
      <c r="I75" s="12">
        <v>115.66666666666667</v>
      </c>
    </row>
    <row r="76" spans="1:9" x14ac:dyDescent="0.2">
      <c r="B76" t="s">
        <v>50</v>
      </c>
      <c r="C76" s="12">
        <v>77</v>
      </c>
      <c r="D76" s="12">
        <v>70.333333333333329</v>
      </c>
      <c r="E76" s="12">
        <v>73</v>
      </c>
      <c r="F76" s="12">
        <v>75</v>
      </c>
      <c r="G76" s="12">
        <v>78</v>
      </c>
      <c r="H76" s="12">
        <v>76.333333333333329</v>
      </c>
      <c r="I76" s="12">
        <v>76.333333333333329</v>
      </c>
    </row>
    <row r="77" spans="1:9" x14ac:dyDescent="0.2">
      <c r="A77">
        <v>220</v>
      </c>
      <c r="B77" t="s">
        <v>35</v>
      </c>
      <c r="C77" s="12">
        <v>65.63333333333334</v>
      </c>
      <c r="D77" s="12">
        <v>64.7</v>
      </c>
      <c r="E77" s="12">
        <v>67</v>
      </c>
      <c r="F77" s="12">
        <v>65.599999999999994</v>
      </c>
      <c r="G77" s="12">
        <v>65.5</v>
      </c>
      <c r="H77" s="12">
        <v>65</v>
      </c>
      <c r="I77" s="12">
        <v>63.6</v>
      </c>
    </row>
    <row r="78" spans="1:9" x14ac:dyDescent="0.2">
      <c r="B78" t="s">
        <v>36</v>
      </c>
      <c r="C78" s="12">
        <v>171.16666666666666</v>
      </c>
      <c r="D78" s="12">
        <v>170.6</v>
      </c>
      <c r="E78" s="12">
        <v>171.1</v>
      </c>
      <c r="F78" s="12">
        <v>171</v>
      </c>
      <c r="G78" s="12">
        <v>171.1</v>
      </c>
      <c r="H78" s="12">
        <v>171</v>
      </c>
      <c r="I78" s="12">
        <v>170.2</v>
      </c>
    </row>
    <row r="79" spans="1:9" x14ac:dyDescent="0.2">
      <c r="B79" t="s">
        <v>37</v>
      </c>
      <c r="C79" s="12">
        <v>22.401962968686746</v>
      </c>
      <c r="D79" s="12">
        <v>22.230346243655593</v>
      </c>
      <c r="E79" s="12">
        <v>22.886257690380361</v>
      </c>
      <c r="F79" s="12">
        <v>22.434253274511818</v>
      </c>
      <c r="G79" s="12">
        <v>22.373878786864385</v>
      </c>
      <c r="H79" s="12">
        <v>22.229061933586404</v>
      </c>
      <c r="I79" s="12">
        <v>21.955230661100995</v>
      </c>
    </row>
    <row r="80" spans="1:9" x14ac:dyDescent="0.2">
      <c r="B80" t="s">
        <v>51</v>
      </c>
      <c r="C80" s="12">
        <v>104.33333333333333</v>
      </c>
      <c r="D80" s="12">
        <v>107.33333333333333</v>
      </c>
      <c r="E80" s="12">
        <v>111</v>
      </c>
      <c r="F80" s="12">
        <v>104.33333333333333</v>
      </c>
      <c r="G80" s="12">
        <v>108.33333333333333</v>
      </c>
      <c r="H80" s="12">
        <v>119.66666666666667</v>
      </c>
      <c r="I80" s="12">
        <v>113.66666666666667</v>
      </c>
    </row>
    <row r="81" spans="1:9" x14ac:dyDescent="0.2">
      <c r="B81" t="s">
        <v>50</v>
      </c>
      <c r="C81" s="12">
        <v>65.333333333333329</v>
      </c>
      <c r="D81" s="12">
        <v>69</v>
      </c>
      <c r="E81" s="12">
        <v>72.333333333333329</v>
      </c>
      <c r="F81" s="12">
        <v>67</v>
      </c>
      <c r="G81" s="12">
        <v>68.333333333333329</v>
      </c>
      <c r="H81" s="12">
        <v>77.333333333333329</v>
      </c>
      <c r="I81" s="12">
        <v>72</v>
      </c>
    </row>
    <row r="82" spans="1:9" x14ac:dyDescent="0.2">
      <c r="A82">
        <v>221</v>
      </c>
      <c r="B82" t="s">
        <v>35</v>
      </c>
      <c r="C82" s="12">
        <v>90.3</v>
      </c>
      <c r="D82" s="12">
        <v>89.266666666666666</v>
      </c>
      <c r="E82" s="12">
        <v>89.09999999999998</v>
      </c>
      <c r="F82" s="12">
        <v>89.90000000000002</v>
      </c>
      <c r="G82" s="12">
        <v>89.2</v>
      </c>
      <c r="H82" s="12">
        <v>89.09999999999998</v>
      </c>
      <c r="I82" s="12">
        <v>89.59999999999998</v>
      </c>
    </row>
    <row r="83" spans="1:9" x14ac:dyDescent="0.2">
      <c r="B83" t="s">
        <v>36</v>
      </c>
      <c r="C83" s="12">
        <v>182.06666666666669</v>
      </c>
      <c r="D83" s="12">
        <v>182.5</v>
      </c>
      <c r="E83" s="12">
        <v>181.9</v>
      </c>
      <c r="F83" s="12">
        <v>182.46666666666667</v>
      </c>
      <c r="G83" s="12">
        <v>182.1</v>
      </c>
      <c r="H83" s="12">
        <v>182.4</v>
      </c>
      <c r="I83" s="12">
        <v>182.46666666666667</v>
      </c>
    </row>
    <row r="84" spans="1:9" x14ac:dyDescent="0.2">
      <c r="B84" t="s">
        <v>37</v>
      </c>
      <c r="C84" s="12">
        <v>27.241239730820208</v>
      </c>
      <c r="D84" s="12">
        <v>26.801776443360229</v>
      </c>
      <c r="E84" s="12">
        <v>26.928508888976868</v>
      </c>
      <c r="F84" s="12">
        <v>27.00179371203614</v>
      </c>
      <c r="G84" s="12">
        <v>26.899546778824512</v>
      </c>
      <c r="H84" s="12">
        <v>26.781076869806085</v>
      </c>
      <c r="I84" s="12">
        <v>26.911687615110534</v>
      </c>
    </row>
    <row r="85" spans="1:9" x14ac:dyDescent="0.2">
      <c r="B85" t="s">
        <v>51</v>
      </c>
      <c r="C85" s="12">
        <v>114.33333333333333</v>
      </c>
      <c r="D85" s="12">
        <v>109.66666666666667</v>
      </c>
      <c r="E85" s="12">
        <v>114.66666666666667</v>
      </c>
      <c r="F85" s="12">
        <v>118.66666666666667</v>
      </c>
      <c r="G85" s="12">
        <v>113.66666666666667</v>
      </c>
      <c r="H85" s="12">
        <v>117.33333333333333</v>
      </c>
      <c r="I85" s="12">
        <v>113.33333333333333</v>
      </c>
    </row>
    <row r="86" spans="1:9" x14ac:dyDescent="0.2">
      <c r="B86" t="s">
        <v>50</v>
      </c>
      <c r="C86" s="12">
        <v>76.666666666666671</v>
      </c>
      <c r="D86" s="12">
        <v>71.666666666666671</v>
      </c>
      <c r="E86" s="12">
        <v>72</v>
      </c>
      <c r="F86" s="12">
        <v>74.666666666666671</v>
      </c>
      <c r="G86" s="12">
        <v>72.333333333333329</v>
      </c>
      <c r="H86" s="12">
        <v>74</v>
      </c>
      <c r="I86" s="12">
        <v>70</v>
      </c>
    </row>
    <row r="87" spans="1:9" x14ac:dyDescent="0.2">
      <c r="A87">
        <v>222</v>
      </c>
      <c r="B87" t="s">
        <v>35</v>
      </c>
      <c r="C87" s="12">
        <v>74.233333333333334</v>
      </c>
      <c r="D87" s="12">
        <v>73.8</v>
      </c>
      <c r="E87" s="12">
        <v>73.599999999999994</v>
      </c>
      <c r="F87" s="12">
        <v>74.3</v>
      </c>
      <c r="G87" s="12">
        <v>74.7</v>
      </c>
      <c r="H87" s="12">
        <v>74.066666666666663</v>
      </c>
      <c r="I87" s="12">
        <v>74.8</v>
      </c>
    </row>
    <row r="88" spans="1:9" x14ac:dyDescent="0.2">
      <c r="B88" t="s">
        <v>36</v>
      </c>
      <c r="C88" s="12">
        <v>159.80000000000001</v>
      </c>
      <c r="D88" s="12">
        <v>163</v>
      </c>
      <c r="E88" s="12">
        <v>162.66666666666666</v>
      </c>
      <c r="F88" s="12">
        <v>161.9</v>
      </c>
      <c r="G88" s="12">
        <v>162.26666666666668</v>
      </c>
      <c r="H88" s="12">
        <v>162.4</v>
      </c>
      <c r="I88" s="12">
        <v>161.6</v>
      </c>
    </row>
    <row r="89" spans="1:9" x14ac:dyDescent="0.2">
      <c r="B89" t="s">
        <v>37</v>
      </c>
      <c r="C89" s="12">
        <v>29.070025475106291</v>
      </c>
      <c r="D89" s="12">
        <v>27.776732281982763</v>
      </c>
      <c r="E89" s="12">
        <v>27.815103466810001</v>
      </c>
      <c r="F89" s="12">
        <v>28.346217573052552</v>
      </c>
      <c r="G89" s="12">
        <v>28.370172217874821</v>
      </c>
      <c r="H89" s="12">
        <v>28.083468821535746</v>
      </c>
      <c r="I89" s="12">
        <v>28.643025193608473</v>
      </c>
    </row>
    <row r="90" spans="1:9" x14ac:dyDescent="0.2">
      <c r="B90" t="s">
        <v>51</v>
      </c>
      <c r="C90" s="12">
        <v>116.33333333333333</v>
      </c>
      <c r="D90" s="12">
        <v>107.66666666666667</v>
      </c>
      <c r="E90" s="12">
        <v>117.66666666666667</v>
      </c>
      <c r="F90" s="12">
        <v>120.66666666666667</v>
      </c>
      <c r="G90" s="12">
        <v>110.33333333333333</v>
      </c>
      <c r="H90" s="12">
        <v>119.66666666666667</v>
      </c>
      <c r="I90" s="12">
        <v>112</v>
      </c>
    </row>
    <row r="91" spans="1:9" x14ac:dyDescent="0.2">
      <c r="B91" t="s">
        <v>50</v>
      </c>
      <c r="C91" s="12">
        <v>81</v>
      </c>
      <c r="D91" s="12">
        <v>71.333333333333329</v>
      </c>
      <c r="E91" s="12">
        <v>78.333333333333329</v>
      </c>
      <c r="F91" s="12">
        <v>80.333333333333329</v>
      </c>
      <c r="G91" s="12">
        <v>73.666666666666671</v>
      </c>
      <c r="H91" s="12">
        <v>79</v>
      </c>
      <c r="I91" s="12">
        <v>75</v>
      </c>
    </row>
    <row r="92" spans="1:9" x14ac:dyDescent="0.2">
      <c r="A92">
        <v>223</v>
      </c>
      <c r="B92" t="s">
        <v>35</v>
      </c>
      <c r="C92" s="12">
        <v>78.266666666666666</v>
      </c>
      <c r="D92" s="12">
        <v>77.7</v>
      </c>
      <c r="E92" s="12">
        <v>78.5</v>
      </c>
      <c r="F92" s="12">
        <v>77.36666666666666</v>
      </c>
      <c r="G92" s="12">
        <v>77.7</v>
      </c>
      <c r="H92" s="12">
        <v>77.183333333333337</v>
      </c>
      <c r="I92" s="12">
        <v>77.5</v>
      </c>
    </row>
    <row r="93" spans="1:9" x14ac:dyDescent="0.2">
      <c r="B93" t="s">
        <v>36</v>
      </c>
      <c r="C93" s="12">
        <v>175.4</v>
      </c>
      <c r="D93" s="12">
        <v>175.43333333333331</v>
      </c>
      <c r="E93" s="12">
        <v>175.83333333333334</v>
      </c>
      <c r="F93" s="12">
        <v>176</v>
      </c>
      <c r="G93" s="12">
        <v>176</v>
      </c>
      <c r="H93" s="12">
        <v>175.8</v>
      </c>
      <c r="I93" s="12">
        <v>176</v>
      </c>
    </row>
    <row r="94" spans="1:9" x14ac:dyDescent="0.2">
      <c r="B94" t="s">
        <v>37</v>
      </c>
      <c r="C94" s="12">
        <v>25.440032382950932</v>
      </c>
      <c r="D94" s="12">
        <v>25.246244751963506</v>
      </c>
      <c r="E94" s="12">
        <v>25.390265268075733</v>
      </c>
      <c r="F94" s="12">
        <v>24.976325757575758</v>
      </c>
      <c r="G94" s="12">
        <v>25.083935950413224</v>
      </c>
      <c r="H94" s="12">
        <v>24.973866690135953</v>
      </c>
      <c r="I94" s="12">
        <v>25.019369834710744</v>
      </c>
    </row>
    <row r="95" spans="1:9" x14ac:dyDescent="0.2">
      <c r="B95" t="s">
        <v>51</v>
      </c>
      <c r="C95" s="12">
        <v>121.33333333333333</v>
      </c>
      <c r="D95" s="12">
        <v>123</v>
      </c>
      <c r="E95" s="12">
        <v>126.33333333333333</v>
      </c>
      <c r="F95" s="12">
        <v>115.66666666666667</v>
      </c>
      <c r="G95" s="12">
        <v>121.33333333333333</v>
      </c>
      <c r="H95" s="12">
        <v>115.66666666666667</v>
      </c>
      <c r="I95" s="12">
        <v>123.33333333333333</v>
      </c>
    </row>
    <row r="96" spans="1:9" x14ac:dyDescent="0.2">
      <c r="B96" t="s">
        <v>50</v>
      </c>
      <c r="C96" s="12">
        <v>74.666666666666671</v>
      </c>
      <c r="D96" s="12">
        <v>69</v>
      </c>
      <c r="E96" s="12">
        <v>76.666666666666671</v>
      </c>
      <c r="F96" s="12">
        <v>70</v>
      </c>
      <c r="G96" s="12">
        <v>72</v>
      </c>
      <c r="H96" s="12">
        <v>72</v>
      </c>
      <c r="I96" s="12">
        <v>75</v>
      </c>
    </row>
    <row r="97" spans="1:9" x14ac:dyDescent="0.2">
      <c r="A97">
        <v>224</v>
      </c>
      <c r="B97" t="s">
        <v>35</v>
      </c>
      <c r="C97" s="12">
        <v>75.099999999999994</v>
      </c>
      <c r="D97" s="12">
        <v>74.8</v>
      </c>
      <c r="E97" s="12">
        <v>74.8</v>
      </c>
      <c r="F97" s="12">
        <v>74.36666666666666</v>
      </c>
      <c r="G97" s="12">
        <v>73.066666666666663</v>
      </c>
      <c r="H97" s="12">
        <v>73.11666666666666</v>
      </c>
      <c r="I97" s="12">
        <v>73.150000000000006</v>
      </c>
    </row>
    <row r="98" spans="1:9" x14ac:dyDescent="0.2">
      <c r="B98" t="s">
        <v>36</v>
      </c>
      <c r="C98" s="12">
        <v>170.5</v>
      </c>
      <c r="D98" s="12">
        <v>170.4</v>
      </c>
      <c r="E98" s="12">
        <v>170.7</v>
      </c>
      <c r="F98" s="12">
        <v>171.1</v>
      </c>
      <c r="G98" s="12">
        <v>170.6</v>
      </c>
      <c r="H98" s="12">
        <v>170.7</v>
      </c>
      <c r="I98" s="12">
        <v>170.8</v>
      </c>
    </row>
    <row r="99" spans="1:9" x14ac:dyDescent="0.2">
      <c r="B99" t="s">
        <v>37</v>
      </c>
      <c r="C99" s="12">
        <v>25.833971156078803</v>
      </c>
      <c r="D99" s="12">
        <v>25.760982168441004</v>
      </c>
      <c r="E99" s="12">
        <v>25.670513468611453</v>
      </c>
      <c r="F99" s="12">
        <v>25.402607416536608</v>
      </c>
      <c r="G99" s="12">
        <v>25.105058715143254</v>
      </c>
      <c r="H99" s="12">
        <v>25.092812519340114</v>
      </c>
      <c r="I99" s="12">
        <v>25.074864667716046</v>
      </c>
    </row>
    <row r="100" spans="1:9" x14ac:dyDescent="0.2">
      <c r="B100" t="s">
        <v>51</v>
      </c>
      <c r="C100" s="12">
        <v>106</v>
      </c>
      <c r="D100" s="12">
        <v>109.33333333333333</v>
      </c>
      <c r="E100" s="12">
        <v>113.33333333333333</v>
      </c>
      <c r="F100" s="12">
        <v>114.66666666666667</v>
      </c>
      <c r="G100" s="12">
        <v>107.33333333333333</v>
      </c>
      <c r="H100" s="12">
        <v>112.33333333333333</v>
      </c>
      <c r="I100" s="12">
        <v>105.66666666666667</v>
      </c>
    </row>
    <row r="101" spans="1:9" x14ac:dyDescent="0.2">
      <c r="B101" t="s">
        <v>50</v>
      </c>
      <c r="C101" s="12">
        <v>70.666666666666671</v>
      </c>
      <c r="D101" s="12">
        <v>71.333333333333329</v>
      </c>
      <c r="E101" s="12">
        <v>73</v>
      </c>
      <c r="F101" s="12">
        <v>72.333333333333329</v>
      </c>
      <c r="G101" s="12">
        <v>72</v>
      </c>
      <c r="H101" s="12">
        <v>69.666666666666671</v>
      </c>
      <c r="I101" s="12">
        <v>69.333333333333329</v>
      </c>
    </row>
  </sheetData>
  <autoFilter ref="K2:K9" xr:uid="{3604590B-32F8-C545-AF1D-5B5D0AE22CBF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830B8C-B1C5-044E-9092-F3B23DB35B31}">
  <dimension ref="A1:O21"/>
  <sheetViews>
    <sheetView zoomScale="120" zoomScaleNormal="120" workbookViewId="0">
      <selection activeCell="H2" sqref="H2"/>
    </sheetView>
  </sheetViews>
  <sheetFormatPr baseColWidth="10" defaultRowHeight="16" x14ac:dyDescent="0.2"/>
  <cols>
    <col min="1" max="16384" width="10.83203125" style="2"/>
  </cols>
  <sheetData>
    <row r="1" spans="1:15" x14ac:dyDescent="0.2">
      <c r="A1" s="2" t="s">
        <v>0</v>
      </c>
      <c r="B1" s="1" t="s">
        <v>6</v>
      </c>
      <c r="C1" s="1"/>
      <c r="D1" s="2" t="s">
        <v>1</v>
      </c>
      <c r="E1" s="2" t="s">
        <v>2</v>
      </c>
      <c r="F1" s="2" t="s">
        <v>3</v>
      </c>
      <c r="G1" s="2" t="s">
        <v>4</v>
      </c>
      <c r="I1" s="2" t="s">
        <v>1</v>
      </c>
      <c r="J1" s="2" t="s">
        <v>7</v>
      </c>
      <c r="K1" s="2" t="s">
        <v>8</v>
      </c>
      <c r="M1" s="2" t="s">
        <v>2</v>
      </c>
      <c r="N1" s="2" t="s">
        <v>7</v>
      </c>
      <c r="O1" s="2" t="s">
        <v>8</v>
      </c>
    </row>
    <row r="2" spans="1:15" x14ac:dyDescent="0.2">
      <c r="A2" s="2">
        <v>201</v>
      </c>
      <c r="B2" s="4" t="s">
        <v>1</v>
      </c>
      <c r="C2" s="3" t="s">
        <v>2</v>
      </c>
      <c r="D2" s="2">
        <v>87</v>
      </c>
      <c r="E2" s="2">
        <v>87</v>
      </c>
      <c r="F2" s="2">
        <v>81</v>
      </c>
      <c r="G2" s="2">
        <v>77</v>
      </c>
      <c r="I2" s="2">
        <v>201</v>
      </c>
      <c r="J2" s="2">
        <v>87</v>
      </c>
      <c r="K2" s="2">
        <v>87</v>
      </c>
      <c r="M2" s="2">
        <v>201</v>
      </c>
      <c r="N2" s="2">
        <v>81</v>
      </c>
      <c r="O2" s="2">
        <v>77</v>
      </c>
    </row>
    <row r="3" spans="1:15" x14ac:dyDescent="0.2">
      <c r="A3" s="2">
        <v>202</v>
      </c>
      <c r="B3" s="4" t="s">
        <v>1</v>
      </c>
      <c r="C3" s="3" t="s">
        <v>2</v>
      </c>
      <c r="D3" s="2">
        <v>84</v>
      </c>
      <c r="E3" s="2">
        <v>80</v>
      </c>
      <c r="F3" s="2">
        <v>91</v>
      </c>
      <c r="G3" s="2">
        <v>87</v>
      </c>
      <c r="I3" s="2">
        <v>202</v>
      </c>
      <c r="J3" s="2">
        <v>84</v>
      </c>
      <c r="K3" s="2">
        <v>80</v>
      </c>
      <c r="M3" s="2">
        <v>202</v>
      </c>
      <c r="N3" s="2">
        <v>91</v>
      </c>
      <c r="O3" s="2">
        <v>87</v>
      </c>
    </row>
    <row r="4" spans="1:15" x14ac:dyDescent="0.2">
      <c r="A4" s="2">
        <v>203</v>
      </c>
      <c r="B4" s="4" t="s">
        <v>1</v>
      </c>
      <c r="C4" s="3" t="s">
        <v>2</v>
      </c>
      <c r="D4" s="2">
        <v>83</v>
      </c>
      <c r="E4" s="2">
        <v>83</v>
      </c>
      <c r="F4" s="2">
        <v>77</v>
      </c>
      <c r="G4" s="2">
        <v>83</v>
      </c>
      <c r="I4" s="2">
        <v>203</v>
      </c>
      <c r="J4" s="2">
        <v>83</v>
      </c>
      <c r="K4" s="2">
        <v>83</v>
      </c>
      <c r="M4" s="2">
        <v>203</v>
      </c>
      <c r="N4" s="2">
        <v>77</v>
      </c>
      <c r="O4" s="2">
        <v>83</v>
      </c>
    </row>
    <row r="5" spans="1:15" x14ac:dyDescent="0.2">
      <c r="A5" s="2">
        <v>204</v>
      </c>
      <c r="B5" s="3" t="s">
        <v>2</v>
      </c>
      <c r="C5" s="4" t="s">
        <v>1</v>
      </c>
      <c r="D5" s="2">
        <v>79</v>
      </c>
      <c r="E5" s="2">
        <v>88</v>
      </c>
      <c r="F5" s="2">
        <v>89</v>
      </c>
      <c r="G5" s="2">
        <v>87</v>
      </c>
      <c r="I5" s="2">
        <v>204</v>
      </c>
      <c r="J5" s="2">
        <v>89</v>
      </c>
      <c r="K5" s="2">
        <v>87</v>
      </c>
      <c r="M5" s="2">
        <v>204</v>
      </c>
      <c r="N5" s="2">
        <v>79</v>
      </c>
      <c r="O5" s="2">
        <v>88</v>
      </c>
    </row>
    <row r="6" spans="1:15" x14ac:dyDescent="0.2">
      <c r="A6" s="2">
        <v>205</v>
      </c>
      <c r="B6" s="4" t="s">
        <v>1</v>
      </c>
      <c r="C6" s="3" t="s">
        <v>2</v>
      </c>
      <c r="D6" s="2">
        <v>79</v>
      </c>
      <c r="E6" s="2">
        <v>77</v>
      </c>
      <c r="F6" s="2">
        <v>84</v>
      </c>
      <c r="G6" s="2">
        <v>82</v>
      </c>
      <c r="I6" s="2">
        <v>205</v>
      </c>
      <c r="J6" s="2">
        <v>79</v>
      </c>
      <c r="K6" s="2">
        <v>77</v>
      </c>
      <c r="M6" s="2">
        <v>205</v>
      </c>
      <c r="N6" s="2">
        <v>84</v>
      </c>
      <c r="O6" s="2">
        <v>82</v>
      </c>
    </row>
    <row r="7" spans="1:15" x14ac:dyDescent="0.2">
      <c r="A7" s="2">
        <v>206</v>
      </c>
      <c r="B7" s="3" t="s">
        <v>2</v>
      </c>
      <c r="C7" s="4" t="s">
        <v>1</v>
      </c>
      <c r="D7" s="2">
        <v>81</v>
      </c>
      <c r="E7" s="2">
        <v>81</v>
      </c>
      <c r="F7" s="2">
        <v>83</v>
      </c>
      <c r="G7" s="2">
        <v>101</v>
      </c>
      <c r="I7" s="2">
        <v>206</v>
      </c>
      <c r="J7" s="2">
        <v>83</v>
      </c>
      <c r="K7" s="2">
        <v>101</v>
      </c>
      <c r="M7" s="2">
        <v>206</v>
      </c>
      <c r="N7" s="2">
        <v>81</v>
      </c>
      <c r="O7" s="2">
        <v>81</v>
      </c>
    </row>
    <row r="8" spans="1:15" x14ac:dyDescent="0.2">
      <c r="A8" s="2">
        <v>208</v>
      </c>
      <c r="B8" s="3" t="s">
        <v>2</v>
      </c>
      <c r="C8" s="4" t="s">
        <v>1</v>
      </c>
      <c r="D8" s="2">
        <v>70</v>
      </c>
      <c r="E8" s="2">
        <v>75</v>
      </c>
      <c r="F8" s="2">
        <v>86</v>
      </c>
      <c r="G8" s="2">
        <v>87</v>
      </c>
      <c r="I8" s="2">
        <v>208</v>
      </c>
      <c r="J8" s="2">
        <v>86</v>
      </c>
      <c r="K8" s="2">
        <v>87</v>
      </c>
      <c r="M8" s="2">
        <v>208</v>
      </c>
      <c r="N8" s="2">
        <v>70</v>
      </c>
      <c r="O8" s="2">
        <v>75</v>
      </c>
    </row>
    <row r="9" spans="1:15" x14ac:dyDescent="0.2">
      <c r="A9" s="2">
        <v>209</v>
      </c>
      <c r="B9" s="4" t="s">
        <v>1</v>
      </c>
      <c r="C9" s="3" t="s">
        <v>2</v>
      </c>
      <c r="D9" s="2">
        <v>83</v>
      </c>
      <c r="E9" s="2">
        <v>76</v>
      </c>
      <c r="F9" s="2">
        <v>85</v>
      </c>
      <c r="G9" s="2">
        <v>91</v>
      </c>
      <c r="I9" s="2">
        <v>209</v>
      </c>
      <c r="J9" s="2">
        <v>83</v>
      </c>
      <c r="K9" s="2">
        <v>76</v>
      </c>
      <c r="M9" s="2">
        <v>209</v>
      </c>
      <c r="N9" s="2">
        <v>85</v>
      </c>
      <c r="O9" s="2">
        <v>91</v>
      </c>
    </row>
    <row r="10" spans="1:15" x14ac:dyDescent="0.2">
      <c r="A10" s="2">
        <v>210</v>
      </c>
      <c r="B10" s="3" t="s">
        <v>2</v>
      </c>
      <c r="C10" s="4" t="s">
        <v>1</v>
      </c>
      <c r="D10" s="2">
        <v>84</v>
      </c>
      <c r="E10" s="2">
        <v>81</v>
      </c>
      <c r="F10" s="2">
        <v>85</v>
      </c>
      <c r="G10" s="2">
        <v>83</v>
      </c>
      <c r="I10" s="2">
        <v>210</v>
      </c>
      <c r="J10" s="2">
        <v>85</v>
      </c>
      <c r="K10" s="2">
        <v>83</v>
      </c>
      <c r="M10" s="2">
        <v>210</v>
      </c>
      <c r="N10" s="2">
        <v>84</v>
      </c>
      <c r="O10" s="2">
        <v>81</v>
      </c>
    </row>
    <row r="11" spans="1:15" x14ac:dyDescent="0.2">
      <c r="A11" s="2">
        <v>211</v>
      </c>
      <c r="B11" s="3" t="s">
        <v>2</v>
      </c>
      <c r="C11" s="4" t="s">
        <v>1</v>
      </c>
      <c r="D11" s="2">
        <v>85</v>
      </c>
      <c r="E11" s="2">
        <v>76</v>
      </c>
      <c r="F11" s="2">
        <v>91</v>
      </c>
      <c r="G11" s="2">
        <v>89</v>
      </c>
      <c r="I11" s="2">
        <v>211</v>
      </c>
      <c r="J11" s="2">
        <v>91</v>
      </c>
      <c r="K11" s="2">
        <v>89</v>
      </c>
      <c r="M11" s="2">
        <v>211</v>
      </c>
      <c r="N11" s="2">
        <v>85</v>
      </c>
      <c r="O11" s="2">
        <v>76</v>
      </c>
    </row>
    <row r="12" spans="1:15" x14ac:dyDescent="0.2">
      <c r="A12" s="2">
        <v>213</v>
      </c>
      <c r="B12" s="4" t="s">
        <v>1</v>
      </c>
      <c r="C12" s="3" t="s">
        <v>2</v>
      </c>
      <c r="D12" s="2">
        <v>69</v>
      </c>
      <c r="E12" s="2">
        <v>78</v>
      </c>
      <c r="F12" s="2">
        <v>93</v>
      </c>
      <c r="G12" s="2">
        <v>94</v>
      </c>
      <c r="I12" s="2">
        <v>213</v>
      </c>
      <c r="J12" s="2">
        <v>69</v>
      </c>
      <c r="K12" s="2">
        <v>78</v>
      </c>
      <c r="M12" s="2">
        <v>213</v>
      </c>
      <c r="N12" s="2">
        <v>93</v>
      </c>
      <c r="O12" s="2">
        <v>94</v>
      </c>
    </row>
    <row r="13" spans="1:15" x14ac:dyDescent="0.2">
      <c r="A13" s="2">
        <v>214</v>
      </c>
      <c r="B13" s="2" t="s">
        <v>2</v>
      </c>
      <c r="C13" s="4" t="s">
        <v>1</v>
      </c>
      <c r="D13" s="2">
        <v>85</v>
      </c>
      <c r="E13" s="2">
        <v>84</v>
      </c>
      <c r="F13" s="2">
        <v>82</v>
      </c>
      <c r="G13" s="2">
        <v>82</v>
      </c>
      <c r="I13" s="2">
        <v>214</v>
      </c>
      <c r="J13" s="2">
        <v>82</v>
      </c>
      <c r="K13" s="2">
        <v>82</v>
      </c>
      <c r="M13" s="2">
        <v>214</v>
      </c>
      <c r="N13" s="2">
        <v>85</v>
      </c>
      <c r="O13" s="2">
        <v>84</v>
      </c>
    </row>
    <row r="14" spans="1:15" x14ac:dyDescent="0.2">
      <c r="A14" s="2">
        <v>215</v>
      </c>
      <c r="B14" s="2" t="s">
        <v>2</v>
      </c>
      <c r="C14" s="4" t="s">
        <v>1</v>
      </c>
      <c r="D14" s="2">
        <v>84</v>
      </c>
      <c r="E14" s="2">
        <v>88</v>
      </c>
      <c r="F14" s="2">
        <v>91</v>
      </c>
      <c r="G14" s="2">
        <v>84</v>
      </c>
      <c r="I14" s="2">
        <v>215</v>
      </c>
      <c r="J14" s="2">
        <v>91</v>
      </c>
      <c r="K14" s="2">
        <v>84</v>
      </c>
      <c r="M14" s="2">
        <v>215</v>
      </c>
      <c r="N14" s="2">
        <v>84</v>
      </c>
      <c r="O14" s="2">
        <v>88</v>
      </c>
    </row>
    <row r="15" spans="1:15" x14ac:dyDescent="0.2">
      <c r="A15" s="2">
        <v>216</v>
      </c>
      <c r="B15" s="4" t="s">
        <v>1</v>
      </c>
      <c r="C15" s="2" t="s">
        <v>2</v>
      </c>
      <c r="D15" s="2">
        <v>83</v>
      </c>
      <c r="E15" s="2">
        <v>79</v>
      </c>
      <c r="F15" s="2">
        <v>85</v>
      </c>
      <c r="G15" s="2">
        <v>76</v>
      </c>
      <c r="I15" s="2">
        <v>216</v>
      </c>
      <c r="J15" s="2">
        <v>83</v>
      </c>
      <c r="K15" s="2">
        <v>79</v>
      </c>
      <c r="M15" s="2">
        <v>216</v>
      </c>
      <c r="N15" s="2">
        <v>85</v>
      </c>
      <c r="O15" s="2">
        <v>76</v>
      </c>
    </row>
    <row r="16" spans="1:15" x14ac:dyDescent="0.2">
      <c r="A16" s="2">
        <v>218</v>
      </c>
      <c r="B16" s="2" t="s">
        <v>2</v>
      </c>
      <c r="C16" s="4" t="s">
        <v>1</v>
      </c>
      <c r="D16" s="2">
        <v>96</v>
      </c>
      <c r="E16" s="2">
        <v>94</v>
      </c>
      <c r="F16" s="2">
        <v>104</v>
      </c>
      <c r="G16" s="2">
        <v>100</v>
      </c>
      <c r="I16" s="2">
        <v>218</v>
      </c>
      <c r="J16" s="2">
        <v>104</v>
      </c>
      <c r="K16" s="2">
        <v>100</v>
      </c>
      <c r="M16" s="2">
        <v>218</v>
      </c>
      <c r="N16" s="2">
        <v>96</v>
      </c>
      <c r="O16" s="2">
        <v>94</v>
      </c>
    </row>
    <row r="17" spans="1:15" x14ac:dyDescent="0.2">
      <c r="A17" s="2">
        <v>220</v>
      </c>
      <c r="B17" s="2" t="s">
        <v>2</v>
      </c>
      <c r="C17" s="4" t="s">
        <v>1</v>
      </c>
      <c r="D17" s="2">
        <v>73</v>
      </c>
      <c r="E17" s="2">
        <v>89</v>
      </c>
      <c r="F17" s="2">
        <v>88</v>
      </c>
      <c r="G17" s="2">
        <v>81</v>
      </c>
      <c r="I17" s="2">
        <v>220</v>
      </c>
      <c r="J17" s="2">
        <v>88</v>
      </c>
      <c r="K17" s="2">
        <v>81</v>
      </c>
      <c r="M17" s="2">
        <v>220</v>
      </c>
      <c r="N17" s="2">
        <v>73</v>
      </c>
      <c r="O17" s="2">
        <v>89</v>
      </c>
    </row>
    <row r="18" spans="1:15" x14ac:dyDescent="0.2">
      <c r="A18" s="2">
        <v>221</v>
      </c>
      <c r="B18" s="2" t="s">
        <v>2</v>
      </c>
      <c r="C18" s="4" t="s">
        <v>1</v>
      </c>
      <c r="D18" s="2">
        <v>82</v>
      </c>
      <c r="E18" s="2">
        <v>98</v>
      </c>
      <c r="F18" s="2">
        <v>81</v>
      </c>
      <c r="G18" s="2">
        <v>80</v>
      </c>
      <c r="I18" s="2">
        <v>221</v>
      </c>
      <c r="J18" s="2">
        <v>81</v>
      </c>
      <c r="K18" s="2">
        <v>80</v>
      </c>
      <c r="M18" s="2">
        <v>221</v>
      </c>
      <c r="N18" s="2">
        <v>82</v>
      </c>
      <c r="O18" s="2">
        <v>98</v>
      </c>
    </row>
    <row r="19" spans="1:15" x14ac:dyDescent="0.2">
      <c r="A19" s="2">
        <v>222</v>
      </c>
      <c r="B19" s="4" t="s">
        <v>1</v>
      </c>
      <c r="C19" s="2" t="s">
        <v>2</v>
      </c>
      <c r="D19" s="2">
        <v>91</v>
      </c>
      <c r="E19" s="2">
        <v>95</v>
      </c>
      <c r="F19" s="2">
        <v>81</v>
      </c>
      <c r="G19" s="2">
        <v>92</v>
      </c>
      <c r="I19" s="2">
        <v>222</v>
      </c>
      <c r="J19" s="2">
        <v>91</v>
      </c>
      <c r="K19" s="2">
        <v>95</v>
      </c>
      <c r="M19" s="2">
        <v>222</v>
      </c>
      <c r="N19" s="2">
        <v>81</v>
      </c>
      <c r="O19" s="2">
        <v>92</v>
      </c>
    </row>
    <row r="20" spans="1:15" x14ac:dyDescent="0.2">
      <c r="A20" s="2">
        <v>223</v>
      </c>
      <c r="B20" s="4" t="s">
        <v>1</v>
      </c>
      <c r="C20" s="2" t="s">
        <v>2</v>
      </c>
      <c r="D20" s="2">
        <v>95</v>
      </c>
      <c r="E20" s="2">
        <v>87</v>
      </c>
      <c r="F20" s="2">
        <v>84</v>
      </c>
      <c r="G20" s="2">
        <v>78</v>
      </c>
      <c r="I20" s="2">
        <v>223</v>
      </c>
      <c r="J20" s="2">
        <v>95</v>
      </c>
      <c r="K20" s="2">
        <v>87</v>
      </c>
      <c r="M20" s="2">
        <v>223</v>
      </c>
      <c r="N20" s="2">
        <v>84</v>
      </c>
      <c r="O20" s="2">
        <v>78</v>
      </c>
    </row>
    <row r="21" spans="1:15" x14ac:dyDescent="0.2">
      <c r="A21" s="2">
        <v>224</v>
      </c>
      <c r="B21" s="4" t="s">
        <v>1</v>
      </c>
      <c r="C21" s="2" t="s">
        <v>2</v>
      </c>
      <c r="D21" s="2">
        <v>89</v>
      </c>
      <c r="E21" s="2">
        <v>90</v>
      </c>
      <c r="F21" s="2">
        <v>92</v>
      </c>
      <c r="G21" s="2">
        <v>101</v>
      </c>
      <c r="I21" s="2">
        <v>224</v>
      </c>
      <c r="J21" s="2">
        <v>89</v>
      </c>
      <c r="K21" s="2">
        <v>90</v>
      </c>
      <c r="M21" s="2">
        <v>224</v>
      </c>
      <c r="N21" s="2">
        <v>92</v>
      </c>
      <c r="O21" s="2">
        <v>101</v>
      </c>
    </row>
  </sheetData>
  <autoFilter ref="A1:R21" xr:uid="{D97DAFF8-3E9F-9246-901C-CC7F4AEC3C3F}"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EFB6BB-C61C-BE4C-A900-8B478EF6CF79}">
  <dimension ref="A1:E21"/>
  <sheetViews>
    <sheetView zoomScale="120" zoomScaleNormal="120" workbookViewId="0">
      <selection activeCell="B2" sqref="B2:E21"/>
    </sheetView>
  </sheetViews>
  <sheetFormatPr baseColWidth="10" defaultRowHeight="16" x14ac:dyDescent="0.2"/>
  <cols>
    <col min="1" max="16384" width="10.83203125" style="2"/>
  </cols>
  <sheetData>
    <row r="1" spans="1:5" x14ac:dyDescent="0.2">
      <c r="A1" s="2" t="s">
        <v>5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x14ac:dyDescent="0.2">
      <c r="A2" s="2">
        <v>201</v>
      </c>
      <c r="B2" s="5">
        <v>14</v>
      </c>
      <c r="C2" s="5">
        <v>7.8</v>
      </c>
      <c r="D2" s="5">
        <v>11.7</v>
      </c>
      <c r="E2" s="5">
        <v>5.3</v>
      </c>
    </row>
    <row r="3" spans="1:5" x14ac:dyDescent="0.2">
      <c r="A3" s="2">
        <v>202</v>
      </c>
      <c r="B3" s="5">
        <v>3.9</v>
      </c>
      <c r="C3" s="5">
        <v>5.4</v>
      </c>
      <c r="D3" s="5">
        <v>5.8</v>
      </c>
      <c r="E3" s="5">
        <v>6.2</v>
      </c>
    </row>
    <row r="4" spans="1:5" x14ac:dyDescent="0.2">
      <c r="A4" s="2">
        <v>203</v>
      </c>
      <c r="B4" s="5">
        <v>6.2</v>
      </c>
      <c r="C4" s="5">
        <v>4.5</v>
      </c>
      <c r="D4" s="5">
        <v>4.4000000000000004</v>
      </c>
      <c r="E4" s="5">
        <v>5.0999999999999996</v>
      </c>
    </row>
    <row r="5" spans="1:5" x14ac:dyDescent="0.2">
      <c r="A5" s="2">
        <v>204</v>
      </c>
      <c r="B5" s="5">
        <v>3.1</v>
      </c>
      <c r="C5" s="5">
        <v>4.2</v>
      </c>
      <c r="D5" s="5">
        <v>5.3</v>
      </c>
      <c r="E5" s="5">
        <v>4</v>
      </c>
    </row>
    <row r="6" spans="1:5" x14ac:dyDescent="0.2">
      <c r="A6" s="2">
        <v>205</v>
      </c>
      <c r="B6" s="5">
        <v>4.5</v>
      </c>
      <c r="C6" s="5">
        <v>3.9</v>
      </c>
      <c r="D6" s="5">
        <v>8.8000000000000007</v>
      </c>
      <c r="E6" s="5">
        <v>5.8</v>
      </c>
    </row>
    <row r="7" spans="1:5" x14ac:dyDescent="0.2">
      <c r="A7" s="2">
        <v>206</v>
      </c>
      <c r="B7" s="5">
        <v>4.5</v>
      </c>
      <c r="C7" s="5">
        <v>3.1</v>
      </c>
      <c r="D7" s="5">
        <v>2.5</v>
      </c>
      <c r="E7" s="5">
        <v>7</v>
      </c>
    </row>
    <row r="8" spans="1:5" x14ac:dyDescent="0.2">
      <c r="A8" s="2">
        <v>208</v>
      </c>
      <c r="B8" s="5">
        <v>2.2999999999999998</v>
      </c>
      <c r="C8" s="5">
        <v>2.2999999999999998</v>
      </c>
      <c r="D8" s="5">
        <v>4.5999999999999996</v>
      </c>
      <c r="E8" s="5">
        <v>2.6</v>
      </c>
    </row>
    <row r="9" spans="1:5" x14ac:dyDescent="0.2">
      <c r="A9" s="2">
        <v>209</v>
      </c>
      <c r="B9" s="5">
        <v>8.1999999999999993</v>
      </c>
      <c r="C9" s="5">
        <v>6.9</v>
      </c>
      <c r="D9" s="5">
        <v>6.2</v>
      </c>
      <c r="E9" s="5">
        <v>6.7</v>
      </c>
    </row>
    <row r="10" spans="1:5" x14ac:dyDescent="0.2">
      <c r="A10" s="2">
        <v>210</v>
      </c>
      <c r="B10" s="5">
        <v>12.1</v>
      </c>
      <c r="C10" s="5">
        <v>9.5</v>
      </c>
      <c r="D10" s="5">
        <v>8</v>
      </c>
      <c r="E10" s="5">
        <v>4.7</v>
      </c>
    </row>
    <row r="11" spans="1:5" x14ac:dyDescent="0.2">
      <c r="A11" s="2">
        <v>211</v>
      </c>
      <c r="B11" s="5">
        <v>10.3</v>
      </c>
      <c r="C11" s="5">
        <v>12.1</v>
      </c>
      <c r="D11" s="5">
        <v>6.7</v>
      </c>
      <c r="E11" s="5">
        <v>8.1999999999999993</v>
      </c>
    </row>
    <row r="12" spans="1:5" x14ac:dyDescent="0.2">
      <c r="A12" s="2">
        <v>213</v>
      </c>
      <c r="B12" s="5">
        <v>2.5</v>
      </c>
      <c r="C12" s="5">
        <v>5.6</v>
      </c>
      <c r="D12" s="5">
        <v>6.2</v>
      </c>
      <c r="E12" s="5">
        <v>6.4</v>
      </c>
    </row>
    <row r="13" spans="1:5" x14ac:dyDescent="0.2">
      <c r="A13" s="2">
        <v>214</v>
      </c>
      <c r="B13" s="5">
        <v>4.9000000000000004</v>
      </c>
      <c r="C13" s="5">
        <v>3.3</v>
      </c>
      <c r="D13" s="5">
        <v>2.6</v>
      </c>
      <c r="E13" s="5">
        <v>4</v>
      </c>
    </row>
    <row r="14" spans="1:5" x14ac:dyDescent="0.2">
      <c r="A14" s="2">
        <v>215</v>
      </c>
      <c r="B14" s="5">
        <v>3.1</v>
      </c>
      <c r="C14" s="5">
        <v>4.5</v>
      </c>
      <c r="D14" s="5">
        <v>5.2</v>
      </c>
      <c r="E14" s="5">
        <v>4.4000000000000004</v>
      </c>
    </row>
    <row r="15" spans="1:5" x14ac:dyDescent="0.2">
      <c r="A15" s="2">
        <v>216</v>
      </c>
      <c r="B15" s="5">
        <v>12.2</v>
      </c>
      <c r="C15" s="5">
        <v>9.4</v>
      </c>
      <c r="D15" s="5">
        <v>6.6</v>
      </c>
      <c r="E15" s="5">
        <v>9.5</v>
      </c>
    </row>
    <row r="16" spans="1:5" x14ac:dyDescent="0.2">
      <c r="A16" s="2">
        <v>218</v>
      </c>
      <c r="B16" s="5">
        <v>13.4</v>
      </c>
      <c r="C16" s="5">
        <v>16.899999999999999</v>
      </c>
      <c r="D16" s="5">
        <v>16.399999999999999</v>
      </c>
      <c r="E16" s="5">
        <v>17.2</v>
      </c>
    </row>
    <row r="17" spans="1:5" x14ac:dyDescent="0.2">
      <c r="A17" s="2">
        <v>220</v>
      </c>
      <c r="B17" s="5">
        <v>3.4</v>
      </c>
      <c r="C17" s="5">
        <v>13</v>
      </c>
      <c r="D17" s="5">
        <v>4</v>
      </c>
      <c r="E17" s="5">
        <v>4.5</v>
      </c>
    </row>
    <row r="18" spans="1:5" x14ac:dyDescent="0.2">
      <c r="A18" s="2">
        <v>221</v>
      </c>
      <c r="B18" s="5">
        <v>4.7</v>
      </c>
      <c r="C18" s="5">
        <v>8.5</v>
      </c>
      <c r="D18" s="5">
        <v>3.6</v>
      </c>
      <c r="E18" s="5">
        <v>3.8</v>
      </c>
    </row>
    <row r="19" spans="1:5" x14ac:dyDescent="0.2">
      <c r="A19" s="2">
        <v>222</v>
      </c>
      <c r="B19" s="5">
        <v>7.4</v>
      </c>
      <c r="C19" s="5">
        <v>8.3000000000000007</v>
      </c>
      <c r="D19" s="5">
        <v>7.4</v>
      </c>
      <c r="E19" s="5">
        <v>9.1</v>
      </c>
    </row>
    <row r="20" spans="1:5" x14ac:dyDescent="0.2">
      <c r="A20" s="2">
        <v>223</v>
      </c>
      <c r="B20" s="5">
        <v>5.0999999999999996</v>
      </c>
      <c r="C20" s="5">
        <v>5</v>
      </c>
      <c r="D20" s="5">
        <v>4</v>
      </c>
      <c r="E20" s="5">
        <v>3.1</v>
      </c>
    </row>
    <row r="21" spans="1:5" x14ac:dyDescent="0.2">
      <c r="A21" s="2">
        <v>224</v>
      </c>
      <c r="B21" s="5">
        <v>2.1</v>
      </c>
      <c r="C21" s="5">
        <v>4.5999999999999996</v>
      </c>
      <c r="D21" s="5">
        <v>3.4</v>
      </c>
      <c r="E21" s="5">
        <v>3.5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766FB5-541F-7D49-BE02-DE3A230336EA}">
  <dimension ref="A1:E21"/>
  <sheetViews>
    <sheetView zoomScale="120" zoomScaleNormal="120" workbookViewId="0">
      <selection activeCell="B2" sqref="B2"/>
    </sheetView>
  </sheetViews>
  <sheetFormatPr baseColWidth="10" defaultRowHeight="16" x14ac:dyDescent="0.2"/>
  <cols>
    <col min="1" max="16384" width="10.83203125" style="2"/>
  </cols>
  <sheetData>
    <row r="1" spans="1:5" x14ac:dyDescent="0.2">
      <c r="B1" s="2" t="s">
        <v>1</v>
      </c>
      <c r="C1" s="2" t="s">
        <v>2</v>
      </c>
      <c r="D1" s="2" t="s">
        <v>3</v>
      </c>
      <c r="E1" s="2" t="s">
        <v>4</v>
      </c>
    </row>
    <row r="2" spans="1:5" x14ac:dyDescent="0.2">
      <c r="A2" s="2">
        <v>201</v>
      </c>
      <c r="B2" s="2">
        <v>145</v>
      </c>
      <c r="C2" s="2">
        <v>143</v>
      </c>
      <c r="D2" s="2">
        <v>153</v>
      </c>
      <c r="E2" s="2">
        <v>142</v>
      </c>
    </row>
    <row r="3" spans="1:5" x14ac:dyDescent="0.2">
      <c r="A3" s="2">
        <v>202</v>
      </c>
      <c r="B3" s="2">
        <v>167</v>
      </c>
      <c r="C3" s="2">
        <v>174</v>
      </c>
      <c r="D3" s="2">
        <v>178</v>
      </c>
      <c r="E3" s="2">
        <v>179</v>
      </c>
    </row>
    <row r="4" spans="1:5" x14ac:dyDescent="0.2">
      <c r="A4" s="2">
        <v>203</v>
      </c>
      <c r="B4" s="2">
        <v>191</v>
      </c>
      <c r="C4" s="2">
        <v>193</v>
      </c>
      <c r="D4" s="2">
        <v>184</v>
      </c>
      <c r="E4" s="2">
        <v>158</v>
      </c>
    </row>
    <row r="5" spans="1:5" x14ac:dyDescent="0.2">
      <c r="A5" s="2">
        <v>204</v>
      </c>
      <c r="B5" s="2">
        <v>128</v>
      </c>
      <c r="C5" s="2">
        <v>148</v>
      </c>
      <c r="D5" s="2">
        <v>138</v>
      </c>
      <c r="E5" s="2">
        <v>126</v>
      </c>
    </row>
    <row r="6" spans="1:5" x14ac:dyDescent="0.2">
      <c r="A6" s="2">
        <v>205</v>
      </c>
      <c r="B6" s="2">
        <v>141</v>
      </c>
      <c r="C6" s="2">
        <v>154</v>
      </c>
      <c r="D6" s="2">
        <v>150</v>
      </c>
      <c r="E6" s="2">
        <v>156</v>
      </c>
    </row>
    <row r="7" spans="1:5" x14ac:dyDescent="0.2">
      <c r="A7" s="2">
        <v>206</v>
      </c>
      <c r="B7" s="2">
        <v>194</v>
      </c>
      <c r="C7" s="2">
        <v>196</v>
      </c>
      <c r="D7" s="2">
        <v>227</v>
      </c>
      <c r="E7" s="2">
        <v>196</v>
      </c>
    </row>
    <row r="8" spans="1:5" x14ac:dyDescent="0.2">
      <c r="A8" s="2">
        <v>208</v>
      </c>
      <c r="B8" s="2">
        <v>147</v>
      </c>
      <c r="C8" s="2">
        <v>166</v>
      </c>
      <c r="D8" s="2">
        <v>163</v>
      </c>
      <c r="E8" s="2">
        <v>144</v>
      </c>
    </row>
    <row r="9" spans="1:5" x14ac:dyDescent="0.2">
      <c r="A9" s="2">
        <v>209</v>
      </c>
      <c r="B9" s="2">
        <v>162</v>
      </c>
      <c r="C9" s="2">
        <v>192</v>
      </c>
      <c r="D9" s="2">
        <v>201</v>
      </c>
      <c r="E9" s="2">
        <v>181</v>
      </c>
    </row>
    <row r="10" spans="1:5" x14ac:dyDescent="0.2">
      <c r="A10" s="2">
        <v>210</v>
      </c>
      <c r="B10" s="2">
        <v>208</v>
      </c>
      <c r="C10" s="2">
        <v>218</v>
      </c>
      <c r="D10" s="2">
        <v>203</v>
      </c>
      <c r="E10" s="2">
        <v>201</v>
      </c>
    </row>
    <row r="11" spans="1:5" x14ac:dyDescent="0.2">
      <c r="A11" s="2">
        <v>211</v>
      </c>
      <c r="B11" s="2">
        <v>174</v>
      </c>
      <c r="C11" s="2">
        <v>160</v>
      </c>
      <c r="D11" s="2">
        <v>180</v>
      </c>
      <c r="E11" s="2">
        <v>168</v>
      </c>
    </row>
    <row r="12" spans="1:5" x14ac:dyDescent="0.2">
      <c r="A12" s="2">
        <v>213</v>
      </c>
      <c r="B12" s="2">
        <v>226</v>
      </c>
      <c r="C12" s="2">
        <v>222</v>
      </c>
      <c r="D12" s="2">
        <v>225</v>
      </c>
      <c r="E12" s="2">
        <v>223</v>
      </c>
    </row>
    <row r="13" spans="1:5" x14ac:dyDescent="0.2">
      <c r="A13" s="2">
        <v>214</v>
      </c>
      <c r="B13" s="2">
        <v>179</v>
      </c>
      <c r="C13" s="2">
        <v>189</v>
      </c>
      <c r="D13" s="2">
        <v>185</v>
      </c>
      <c r="E13" s="2">
        <v>185</v>
      </c>
    </row>
    <row r="14" spans="1:5" x14ac:dyDescent="0.2">
      <c r="A14" s="2">
        <v>215</v>
      </c>
      <c r="B14" s="2">
        <v>190</v>
      </c>
      <c r="C14" s="2">
        <v>167</v>
      </c>
      <c r="D14" s="2">
        <v>174</v>
      </c>
      <c r="E14" s="2">
        <v>200</v>
      </c>
    </row>
    <row r="15" spans="1:5" x14ac:dyDescent="0.2">
      <c r="A15" s="2">
        <v>216</v>
      </c>
      <c r="B15" s="2">
        <v>155</v>
      </c>
      <c r="C15" s="2">
        <v>136</v>
      </c>
      <c r="D15" s="2">
        <v>150</v>
      </c>
      <c r="E15" s="2">
        <v>155</v>
      </c>
    </row>
    <row r="16" spans="1:5" x14ac:dyDescent="0.2">
      <c r="A16" s="2">
        <v>218</v>
      </c>
      <c r="B16" s="2">
        <v>169</v>
      </c>
      <c r="C16" s="2">
        <v>171</v>
      </c>
      <c r="D16" s="2">
        <v>164</v>
      </c>
      <c r="E16" s="2">
        <v>152</v>
      </c>
    </row>
    <row r="17" spans="1:5" x14ac:dyDescent="0.2">
      <c r="A17" s="2">
        <v>220</v>
      </c>
      <c r="B17" s="2">
        <v>162</v>
      </c>
      <c r="C17" s="2">
        <v>176</v>
      </c>
      <c r="D17" s="2">
        <v>208</v>
      </c>
      <c r="E17" s="2">
        <v>184</v>
      </c>
    </row>
    <row r="18" spans="1:5" x14ac:dyDescent="0.2">
      <c r="A18" s="2">
        <v>221</v>
      </c>
      <c r="B18" s="2">
        <v>167</v>
      </c>
      <c r="C18" s="2">
        <v>165</v>
      </c>
      <c r="D18" s="2">
        <v>178</v>
      </c>
      <c r="E18" s="2">
        <v>178</v>
      </c>
    </row>
    <row r="19" spans="1:5" x14ac:dyDescent="0.2">
      <c r="A19" s="2">
        <v>222</v>
      </c>
      <c r="B19" s="2">
        <v>155</v>
      </c>
      <c r="C19" s="2">
        <v>157</v>
      </c>
      <c r="D19" s="2">
        <v>193</v>
      </c>
      <c r="E19" s="2">
        <v>194</v>
      </c>
    </row>
    <row r="20" spans="1:5" x14ac:dyDescent="0.2">
      <c r="A20" s="2">
        <v>223</v>
      </c>
      <c r="B20" s="2">
        <v>166</v>
      </c>
      <c r="C20" s="2">
        <v>164</v>
      </c>
      <c r="D20" s="2">
        <v>179</v>
      </c>
      <c r="E20" s="2">
        <v>180</v>
      </c>
    </row>
    <row r="21" spans="1:5" x14ac:dyDescent="0.2">
      <c r="A21" s="2">
        <v>224</v>
      </c>
      <c r="B21" s="2">
        <v>194</v>
      </c>
      <c r="C21" s="2">
        <v>178</v>
      </c>
      <c r="D21" s="2">
        <v>193</v>
      </c>
      <c r="E21" s="2">
        <v>178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C4A824-1825-4E49-9551-B32E88D4EEDE}">
  <dimension ref="A1:E21"/>
  <sheetViews>
    <sheetView zoomScale="120" zoomScaleNormal="120" workbookViewId="0">
      <selection activeCell="B2" sqref="B2:B21"/>
    </sheetView>
  </sheetViews>
  <sheetFormatPr baseColWidth="10" defaultRowHeight="16" x14ac:dyDescent="0.2"/>
  <cols>
    <col min="1" max="16384" width="10.83203125" style="2"/>
  </cols>
  <sheetData>
    <row r="1" spans="1:5" x14ac:dyDescent="0.2">
      <c r="B1" s="2" t="s">
        <v>1</v>
      </c>
      <c r="C1" s="2" t="s">
        <v>2</v>
      </c>
      <c r="D1" s="2" t="s">
        <v>3</v>
      </c>
      <c r="E1" s="2" t="s">
        <v>4</v>
      </c>
    </row>
    <row r="2" spans="1:5" x14ac:dyDescent="0.2">
      <c r="A2" s="2">
        <v>201</v>
      </c>
      <c r="B2" s="2">
        <v>52</v>
      </c>
      <c r="C2" s="2">
        <v>44</v>
      </c>
      <c r="D2" s="2">
        <v>48</v>
      </c>
      <c r="E2" s="2">
        <v>43</v>
      </c>
    </row>
    <row r="3" spans="1:5" x14ac:dyDescent="0.2">
      <c r="A3" s="2">
        <v>202</v>
      </c>
      <c r="B3" s="2">
        <v>44</v>
      </c>
      <c r="C3" s="2">
        <v>46</v>
      </c>
      <c r="D3" s="2">
        <v>46</v>
      </c>
      <c r="E3" s="2">
        <v>46</v>
      </c>
    </row>
    <row r="4" spans="1:5" x14ac:dyDescent="0.2">
      <c r="A4" s="2">
        <v>203</v>
      </c>
      <c r="B4" s="2">
        <v>67</v>
      </c>
      <c r="C4" s="2">
        <v>72</v>
      </c>
      <c r="D4" s="2">
        <v>71</v>
      </c>
      <c r="E4" s="2">
        <v>71</v>
      </c>
    </row>
    <row r="5" spans="1:5" x14ac:dyDescent="0.2">
      <c r="A5" s="2">
        <v>204</v>
      </c>
      <c r="B5" s="2">
        <v>53</v>
      </c>
      <c r="C5" s="2">
        <v>62</v>
      </c>
      <c r="D5" s="2">
        <v>54</v>
      </c>
    </row>
    <row r="6" spans="1:5" x14ac:dyDescent="0.2">
      <c r="A6" s="2">
        <v>205</v>
      </c>
      <c r="B6" s="2">
        <v>39</v>
      </c>
      <c r="C6" s="2">
        <v>39</v>
      </c>
      <c r="D6" s="2">
        <v>33</v>
      </c>
      <c r="E6" s="2">
        <v>35</v>
      </c>
    </row>
    <row r="7" spans="1:5" x14ac:dyDescent="0.2">
      <c r="A7" s="2">
        <v>206</v>
      </c>
      <c r="B7" s="2">
        <v>44</v>
      </c>
      <c r="C7" s="2">
        <v>47</v>
      </c>
      <c r="D7" s="2">
        <v>55</v>
      </c>
      <c r="E7" s="2">
        <v>47</v>
      </c>
    </row>
    <row r="8" spans="1:5" x14ac:dyDescent="0.2">
      <c r="A8" s="2">
        <v>208</v>
      </c>
      <c r="B8" s="2">
        <v>60</v>
      </c>
      <c r="C8" s="2">
        <v>57</v>
      </c>
      <c r="D8" s="2">
        <v>54</v>
      </c>
      <c r="E8" s="2">
        <v>57</v>
      </c>
    </row>
    <row r="9" spans="1:5" x14ac:dyDescent="0.2">
      <c r="A9" s="2">
        <v>209</v>
      </c>
      <c r="B9" s="2">
        <v>57</v>
      </c>
      <c r="C9" s="2">
        <v>54</v>
      </c>
      <c r="D9" s="2">
        <v>55</v>
      </c>
      <c r="E9" s="2">
        <v>61</v>
      </c>
    </row>
    <row r="10" spans="1:5" x14ac:dyDescent="0.2">
      <c r="A10" s="2">
        <v>210</v>
      </c>
      <c r="B10" s="2">
        <v>52</v>
      </c>
      <c r="C10" s="2">
        <v>52</v>
      </c>
      <c r="D10" s="2">
        <v>50</v>
      </c>
      <c r="E10" s="2">
        <v>50</v>
      </c>
    </row>
    <row r="11" spans="1:5" x14ac:dyDescent="0.2">
      <c r="A11" s="2">
        <v>211</v>
      </c>
      <c r="B11" s="2">
        <v>52</v>
      </c>
      <c r="C11" s="2">
        <v>51</v>
      </c>
      <c r="D11" s="2">
        <v>56</v>
      </c>
    </row>
    <row r="12" spans="1:5" x14ac:dyDescent="0.2">
      <c r="A12" s="2">
        <v>213</v>
      </c>
      <c r="B12" s="2">
        <v>64</v>
      </c>
      <c r="C12" s="2">
        <v>68</v>
      </c>
      <c r="D12" s="2">
        <v>72</v>
      </c>
    </row>
    <row r="13" spans="1:5" x14ac:dyDescent="0.2">
      <c r="A13" s="2">
        <v>214</v>
      </c>
      <c r="B13" s="2">
        <v>58</v>
      </c>
      <c r="C13" s="2">
        <v>57</v>
      </c>
    </row>
    <row r="14" spans="1:5" x14ac:dyDescent="0.2">
      <c r="A14" s="2">
        <v>215</v>
      </c>
      <c r="B14" s="2">
        <v>51</v>
      </c>
      <c r="C14" s="2">
        <v>52</v>
      </c>
    </row>
    <row r="15" spans="1:5" x14ac:dyDescent="0.2">
      <c r="A15" s="2">
        <v>216</v>
      </c>
      <c r="B15" s="2">
        <v>41</v>
      </c>
      <c r="C15" s="2">
        <v>36</v>
      </c>
    </row>
    <row r="16" spans="1:5" x14ac:dyDescent="0.2">
      <c r="A16" s="2">
        <v>218</v>
      </c>
      <c r="B16" s="2">
        <v>33</v>
      </c>
      <c r="C16" s="2">
        <v>34</v>
      </c>
    </row>
    <row r="17" spans="1:3" x14ac:dyDescent="0.2">
      <c r="A17" s="2">
        <v>220</v>
      </c>
      <c r="B17" s="2">
        <v>76</v>
      </c>
      <c r="C17" s="2">
        <v>94</v>
      </c>
    </row>
    <row r="18" spans="1:3" x14ac:dyDescent="0.2">
      <c r="A18" s="2">
        <v>221</v>
      </c>
      <c r="B18" s="2">
        <v>40</v>
      </c>
      <c r="C18" s="2">
        <v>40</v>
      </c>
    </row>
    <row r="19" spans="1:3" x14ac:dyDescent="0.2">
      <c r="A19" s="2">
        <v>222</v>
      </c>
      <c r="B19" s="2">
        <v>54</v>
      </c>
      <c r="C19" s="2">
        <v>59</v>
      </c>
    </row>
    <row r="20" spans="1:3" x14ac:dyDescent="0.2">
      <c r="A20" s="2">
        <v>223</v>
      </c>
      <c r="B20" s="2">
        <v>51</v>
      </c>
      <c r="C20" s="2">
        <v>59</v>
      </c>
    </row>
    <row r="21" spans="1:3" x14ac:dyDescent="0.2">
      <c r="A21" s="2">
        <v>224</v>
      </c>
      <c r="B21" s="2">
        <v>47</v>
      </c>
      <c r="C21" s="2">
        <v>47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A5C908-7D85-0D46-A9A0-0E437D5A965F}">
  <dimension ref="A1:E21"/>
  <sheetViews>
    <sheetView zoomScale="120" zoomScaleNormal="120" workbookViewId="0"/>
  </sheetViews>
  <sheetFormatPr baseColWidth="10" defaultRowHeight="16" x14ac:dyDescent="0.2"/>
  <sheetData>
    <row r="1" spans="1:5" x14ac:dyDescent="0.2">
      <c r="A1" s="2"/>
      <c r="B1" s="2" t="s">
        <v>1</v>
      </c>
      <c r="C1" s="2" t="s">
        <v>2</v>
      </c>
      <c r="D1" s="2" t="s">
        <v>3</v>
      </c>
      <c r="E1" s="2" t="s">
        <v>4</v>
      </c>
    </row>
    <row r="2" spans="1:5" x14ac:dyDescent="0.2">
      <c r="A2" s="2">
        <v>201</v>
      </c>
      <c r="B2" s="2"/>
      <c r="C2" s="2"/>
      <c r="D2" s="2"/>
      <c r="E2" s="2"/>
    </row>
    <row r="3" spans="1:5" x14ac:dyDescent="0.2">
      <c r="A3" s="2">
        <v>202</v>
      </c>
      <c r="B3" s="2"/>
      <c r="C3" s="2"/>
      <c r="D3" s="2"/>
      <c r="E3" s="2"/>
    </row>
    <row r="4" spans="1:5" x14ac:dyDescent="0.2">
      <c r="A4" s="2">
        <v>203</v>
      </c>
      <c r="B4" s="2"/>
      <c r="C4" s="2"/>
      <c r="D4" s="2"/>
      <c r="E4" s="2"/>
    </row>
    <row r="5" spans="1:5" x14ac:dyDescent="0.2">
      <c r="A5" s="2">
        <v>204</v>
      </c>
      <c r="B5" s="2"/>
      <c r="C5" s="2"/>
      <c r="D5" s="2"/>
      <c r="E5" s="2"/>
    </row>
    <row r="6" spans="1:5" x14ac:dyDescent="0.2">
      <c r="A6" s="2">
        <v>205</v>
      </c>
      <c r="B6" s="2"/>
      <c r="C6" s="2"/>
      <c r="D6" s="2"/>
      <c r="E6" s="2"/>
    </row>
    <row r="7" spans="1:5" x14ac:dyDescent="0.2">
      <c r="A7" s="2">
        <v>206</v>
      </c>
      <c r="B7" s="2"/>
      <c r="C7" s="2"/>
      <c r="D7" s="2"/>
      <c r="E7" s="2"/>
    </row>
    <row r="8" spans="1:5" x14ac:dyDescent="0.2">
      <c r="A8" s="2">
        <v>208</v>
      </c>
      <c r="B8" s="2"/>
      <c r="C8" s="2"/>
      <c r="D8" s="2"/>
      <c r="E8" s="2"/>
    </row>
    <row r="9" spans="1:5" x14ac:dyDescent="0.2">
      <c r="A9" s="2">
        <v>209</v>
      </c>
      <c r="B9" s="2"/>
      <c r="C9" s="2"/>
      <c r="D9" s="2"/>
      <c r="E9" s="2"/>
    </row>
    <row r="10" spans="1:5" x14ac:dyDescent="0.2">
      <c r="A10" s="2">
        <v>210</v>
      </c>
      <c r="B10" s="2"/>
      <c r="C10" s="2"/>
      <c r="D10" s="2"/>
      <c r="E10" s="2"/>
    </row>
    <row r="11" spans="1:5" x14ac:dyDescent="0.2">
      <c r="A11" s="2">
        <v>211</v>
      </c>
      <c r="B11" s="2"/>
      <c r="C11" s="2"/>
      <c r="D11" s="2"/>
      <c r="E11" s="2"/>
    </row>
    <row r="12" spans="1:5" x14ac:dyDescent="0.2">
      <c r="A12" s="2">
        <v>213</v>
      </c>
      <c r="B12" s="2"/>
      <c r="C12" s="2"/>
      <c r="D12" s="2"/>
      <c r="E12" s="2"/>
    </row>
    <row r="13" spans="1:5" x14ac:dyDescent="0.2">
      <c r="A13" s="2">
        <v>214</v>
      </c>
      <c r="B13" s="2"/>
      <c r="C13" s="2"/>
      <c r="D13" s="2"/>
      <c r="E13" s="2"/>
    </row>
    <row r="14" spans="1:5" x14ac:dyDescent="0.2">
      <c r="A14" s="2">
        <v>215</v>
      </c>
      <c r="B14" s="2"/>
      <c r="C14" s="2"/>
      <c r="D14" s="2"/>
      <c r="E14" s="2"/>
    </row>
    <row r="15" spans="1:5" x14ac:dyDescent="0.2">
      <c r="A15" s="2">
        <v>216</v>
      </c>
      <c r="B15" s="2"/>
      <c r="C15" s="2"/>
      <c r="D15" s="2"/>
      <c r="E15" s="2"/>
    </row>
    <row r="16" spans="1:5" x14ac:dyDescent="0.2">
      <c r="A16" s="2">
        <v>218</v>
      </c>
      <c r="B16" s="2"/>
      <c r="C16" s="2"/>
      <c r="D16" s="2"/>
      <c r="E16" s="2"/>
    </row>
    <row r="17" spans="1:5" x14ac:dyDescent="0.2">
      <c r="A17" s="2">
        <v>220</v>
      </c>
      <c r="B17" s="2"/>
      <c r="C17" s="2"/>
      <c r="D17" s="2"/>
      <c r="E17" s="2"/>
    </row>
    <row r="18" spans="1:5" x14ac:dyDescent="0.2">
      <c r="A18" s="2">
        <v>221</v>
      </c>
      <c r="B18" s="2"/>
      <c r="C18" s="2"/>
      <c r="D18" s="2"/>
      <c r="E18" s="2"/>
    </row>
    <row r="19" spans="1:5" x14ac:dyDescent="0.2">
      <c r="A19" s="2">
        <v>222</v>
      </c>
      <c r="B19" s="2"/>
      <c r="C19" s="2"/>
      <c r="D19" s="2"/>
      <c r="E19" s="2"/>
    </row>
    <row r="20" spans="1:5" x14ac:dyDescent="0.2">
      <c r="A20" s="2">
        <v>223</v>
      </c>
      <c r="B20" s="2"/>
      <c r="C20" s="2"/>
      <c r="D20" s="2"/>
      <c r="E20" s="2"/>
    </row>
    <row r="21" spans="1:5" x14ac:dyDescent="0.2">
      <c r="A21" s="2">
        <v>224</v>
      </c>
      <c r="B21" s="2"/>
      <c r="C21" s="2"/>
      <c r="D21" s="2"/>
      <c r="E21" s="2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19E072-A86F-FE40-A8F3-D6F695C9B865}">
  <dimension ref="A1:E21"/>
  <sheetViews>
    <sheetView zoomScale="120" zoomScaleNormal="120" workbookViewId="0"/>
  </sheetViews>
  <sheetFormatPr baseColWidth="10" defaultRowHeight="16" x14ac:dyDescent="0.2"/>
  <sheetData>
    <row r="1" spans="1:5" x14ac:dyDescent="0.2">
      <c r="A1" s="2"/>
      <c r="B1" s="2" t="s">
        <v>1</v>
      </c>
      <c r="C1" s="2" t="s">
        <v>2</v>
      </c>
      <c r="D1" s="2" t="s">
        <v>3</v>
      </c>
      <c r="E1" s="2" t="s">
        <v>4</v>
      </c>
    </row>
    <row r="2" spans="1:5" x14ac:dyDescent="0.2">
      <c r="A2" s="2">
        <v>201</v>
      </c>
      <c r="B2" s="2"/>
      <c r="C2" s="2"/>
      <c r="D2" s="2"/>
      <c r="E2" s="2"/>
    </row>
    <row r="3" spans="1:5" x14ac:dyDescent="0.2">
      <c r="A3" s="2">
        <v>202</v>
      </c>
      <c r="B3" s="2"/>
      <c r="C3" s="2"/>
      <c r="D3" s="2"/>
      <c r="E3" s="2"/>
    </row>
    <row r="4" spans="1:5" x14ac:dyDescent="0.2">
      <c r="A4" s="2">
        <v>203</v>
      </c>
      <c r="B4" s="2"/>
      <c r="C4" s="2"/>
      <c r="D4" s="2"/>
      <c r="E4" s="2"/>
    </row>
    <row r="5" spans="1:5" x14ac:dyDescent="0.2">
      <c r="A5" s="2">
        <v>204</v>
      </c>
      <c r="B5" s="2"/>
      <c r="C5" s="2"/>
      <c r="D5" s="2"/>
      <c r="E5" s="2"/>
    </row>
    <row r="6" spans="1:5" x14ac:dyDescent="0.2">
      <c r="A6" s="2">
        <v>205</v>
      </c>
      <c r="B6" s="2"/>
      <c r="C6" s="2"/>
      <c r="D6" s="2"/>
      <c r="E6" s="2"/>
    </row>
    <row r="7" spans="1:5" x14ac:dyDescent="0.2">
      <c r="A7" s="2">
        <v>206</v>
      </c>
      <c r="B7" s="2"/>
      <c r="C7" s="2"/>
      <c r="D7" s="2"/>
      <c r="E7" s="2"/>
    </row>
    <row r="8" spans="1:5" x14ac:dyDescent="0.2">
      <c r="A8" s="2">
        <v>208</v>
      </c>
      <c r="B8" s="2"/>
      <c r="C8" s="2"/>
      <c r="D8" s="2"/>
      <c r="E8" s="2"/>
    </row>
    <row r="9" spans="1:5" x14ac:dyDescent="0.2">
      <c r="A9" s="2">
        <v>209</v>
      </c>
      <c r="B9" s="2"/>
      <c r="C9" s="2"/>
      <c r="D9" s="2"/>
      <c r="E9" s="2"/>
    </row>
    <row r="10" spans="1:5" x14ac:dyDescent="0.2">
      <c r="A10" s="2">
        <v>210</v>
      </c>
      <c r="B10" s="2"/>
      <c r="C10" s="2"/>
      <c r="D10" s="2"/>
      <c r="E10" s="2"/>
    </row>
    <row r="11" spans="1:5" x14ac:dyDescent="0.2">
      <c r="A11" s="2">
        <v>211</v>
      </c>
      <c r="B11" s="2"/>
      <c r="C11" s="2"/>
      <c r="D11" s="2"/>
      <c r="E11" s="2"/>
    </row>
    <row r="12" spans="1:5" x14ac:dyDescent="0.2">
      <c r="A12" s="2">
        <v>213</v>
      </c>
      <c r="B12" s="2"/>
      <c r="C12" s="2"/>
      <c r="D12" s="2"/>
      <c r="E12" s="2"/>
    </row>
    <row r="13" spans="1:5" x14ac:dyDescent="0.2">
      <c r="A13" s="2">
        <v>214</v>
      </c>
      <c r="B13" s="2"/>
      <c r="C13" s="2"/>
      <c r="D13" s="2"/>
      <c r="E13" s="2"/>
    </row>
    <row r="14" spans="1:5" x14ac:dyDescent="0.2">
      <c r="A14" s="2">
        <v>215</v>
      </c>
      <c r="B14" s="2"/>
      <c r="C14" s="2"/>
      <c r="D14" s="2"/>
      <c r="E14" s="2"/>
    </row>
    <row r="15" spans="1:5" x14ac:dyDescent="0.2">
      <c r="A15" s="2">
        <v>216</v>
      </c>
      <c r="B15" s="2"/>
      <c r="C15" s="2"/>
      <c r="D15" s="2"/>
      <c r="E15" s="2"/>
    </row>
    <row r="16" spans="1:5" x14ac:dyDescent="0.2">
      <c r="A16" s="2">
        <v>218</v>
      </c>
      <c r="B16" s="2"/>
      <c r="C16" s="2"/>
      <c r="D16" s="2"/>
      <c r="E16" s="2"/>
    </row>
    <row r="17" spans="1:5" x14ac:dyDescent="0.2">
      <c r="A17" s="2">
        <v>220</v>
      </c>
      <c r="B17" s="2"/>
      <c r="C17" s="2"/>
      <c r="D17" s="2"/>
      <c r="E17" s="2"/>
    </row>
    <row r="18" spans="1:5" x14ac:dyDescent="0.2">
      <c r="A18" s="2">
        <v>221</v>
      </c>
      <c r="B18" s="2"/>
      <c r="C18" s="2"/>
      <c r="D18" s="2"/>
      <c r="E18" s="2"/>
    </row>
    <row r="19" spans="1:5" x14ac:dyDescent="0.2">
      <c r="A19" s="2">
        <v>222</v>
      </c>
      <c r="B19" s="2"/>
      <c r="C19" s="2"/>
      <c r="D19" s="2"/>
      <c r="E19" s="2"/>
    </row>
    <row r="20" spans="1:5" x14ac:dyDescent="0.2">
      <c r="A20" s="2">
        <v>223</v>
      </c>
      <c r="B20" s="2"/>
      <c r="C20" s="2"/>
      <c r="D20" s="2"/>
      <c r="E20" s="2"/>
    </row>
    <row r="21" spans="1:5" x14ac:dyDescent="0.2">
      <c r="A21" s="2">
        <v>224</v>
      </c>
      <c r="B21" s="2"/>
      <c r="C21" s="2"/>
      <c r="D21" s="2"/>
      <c r="E21" s="2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9AD024-770B-F244-9148-29FEC8FA4E8E}">
  <dimension ref="A1:E21"/>
  <sheetViews>
    <sheetView zoomScale="120" zoomScaleNormal="120" workbookViewId="0">
      <selection activeCell="B2" sqref="B2"/>
    </sheetView>
  </sheetViews>
  <sheetFormatPr baseColWidth="10" defaultRowHeight="16" x14ac:dyDescent="0.2"/>
  <sheetData>
    <row r="1" spans="1:5" x14ac:dyDescent="0.2">
      <c r="A1" s="2"/>
      <c r="B1" s="2" t="s">
        <v>1</v>
      </c>
      <c r="C1" s="2" t="s">
        <v>2</v>
      </c>
      <c r="D1" s="2" t="s">
        <v>3</v>
      </c>
      <c r="E1" s="2" t="s">
        <v>4</v>
      </c>
    </row>
    <row r="2" spans="1:5" x14ac:dyDescent="0.2">
      <c r="A2" s="2">
        <v>201</v>
      </c>
      <c r="B2" s="2"/>
      <c r="C2" s="2"/>
      <c r="D2" s="2"/>
      <c r="E2" s="2"/>
    </row>
    <row r="3" spans="1:5" x14ac:dyDescent="0.2">
      <c r="A3" s="2">
        <v>202</v>
      </c>
      <c r="B3" s="2"/>
      <c r="C3" s="2"/>
      <c r="D3" s="2"/>
      <c r="E3" s="2"/>
    </row>
    <row r="4" spans="1:5" x14ac:dyDescent="0.2">
      <c r="A4" s="2">
        <v>203</v>
      </c>
      <c r="B4" s="2"/>
      <c r="C4" s="2"/>
      <c r="D4" s="2"/>
      <c r="E4" s="2"/>
    </row>
    <row r="5" spans="1:5" x14ac:dyDescent="0.2">
      <c r="A5" s="2">
        <v>204</v>
      </c>
      <c r="B5" s="2"/>
      <c r="C5" s="2"/>
      <c r="D5" s="2"/>
      <c r="E5" s="2"/>
    </row>
    <row r="6" spans="1:5" x14ac:dyDescent="0.2">
      <c r="A6" s="2">
        <v>205</v>
      </c>
      <c r="B6" s="2"/>
      <c r="C6" s="2"/>
      <c r="D6" s="2"/>
      <c r="E6" s="2"/>
    </row>
    <row r="7" spans="1:5" x14ac:dyDescent="0.2">
      <c r="A7" s="2">
        <v>206</v>
      </c>
      <c r="B7" s="2"/>
      <c r="C7" s="2"/>
      <c r="D7" s="2"/>
      <c r="E7" s="2"/>
    </row>
    <row r="8" spans="1:5" x14ac:dyDescent="0.2">
      <c r="A8" s="2">
        <v>208</v>
      </c>
      <c r="B8" s="2"/>
      <c r="C8" s="2"/>
      <c r="D8" s="2"/>
      <c r="E8" s="2"/>
    </row>
    <row r="9" spans="1:5" x14ac:dyDescent="0.2">
      <c r="A9" s="2">
        <v>209</v>
      </c>
      <c r="B9" s="2"/>
      <c r="C9" s="2"/>
      <c r="D9" s="2"/>
      <c r="E9" s="2"/>
    </row>
    <row r="10" spans="1:5" x14ac:dyDescent="0.2">
      <c r="A10" s="2">
        <v>210</v>
      </c>
      <c r="B10" s="2"/>
      <c r="C10" s="2"/>
      <c r="D10" s="2"/>
      <c r="E10" s="2"/>
    </row>
    <row r="11" spans="1:5" x14ac:dyDescent="0.2">
      <c r="A11" s="2">
        <v>211</v>
      </c>
      <c r="B11" s="2"/>
      <c r="C11" s="2"/>
      <c r="D11" s="2"/>
      <c r="E11" s="2"/>
    </row>
    <row r="12" spans="1:5" x14ac:dyDescent="0.2">
      <c r="A12" s="2">
        <v>213</v>
      </c>
      <c r="B12" s="2"/>
      <c r="C12" s="2"/>
      <c r="D12" s="2"/>
      <c r="E12" s="2"/>
    </row>
    <row r="13" spans="1:5" x14ac:dyDescent="0.2">
      <c r="A13" s="2">
        <v>214</v>
      </c>
      <c r="B13" s="2"/>
      <c r="C13" s="2"/>
      <c r="D13" s="2"/>
      <c r="E13" s="2"/>
    </row>
    <row r="14" spans="1:5" x14ac:dyDescent="0.2">
      <c r="A14" s="2">
        <v>215</v>
      </c>
      <c r="B14" s="2"/>
      <c r="C14" s="2"/>
      <c r="D14" s="2"/>
      <c r="E14" s="2"/>
    </row>
    <row r="15" spans="1:5" x14ac:dyDescent="0.2">
      <c r="A15" s="2">
        <v>216</v>
      </c>
      <c r="B15" s="2"/>
      <c r="C15" s="2"/>
      <c r="D15" s="2"/>
      <c r="E15" s="2"/>
    </row>
    <row r="16" spans="1:5" x14ac:dyDescent="0.2">
      <c r="A16" s="2">
        <v>218</v>
      </c>
      <c r="B16" s="2"/>
      <c r="C16" s="2"/>
      <c r="D16" s="2"/>
      <c r="E16" s="2"/>
    </row>
    <row r="17" spans="1:5" x14ac:dyDescent="0.2">
      <c r="A17" s="2">
        <v>220</v>
      </c>
      <c r="B17" s="2"/>
      <c r="C17" s="2"/>
      <c r="D17" s="2"/>
      <c r="E17" s="2"/>
    </row>
    <row r="18" spans="1:5" x14ac:dyDescent="0.2">
      <c r="A18" s="2">
        <v>221</v>
      </c>
      <c r="B18" s="2"/>
      <c r="C18" s="2"/>
      <c r="D18" s="2"/>
      <c r="E18" s="2"/>
    </row>
    <row r="19" spans="1:5" x14ac:dyDescent="0.2">
      <c r="A19" s="2">
        <v>222</v>
      </c>
      <c r="B19" s="2"/>
      <c r="C19" s="2"/>
      <c r="D19" s="2"/>
      <c r="E19" s="2"/>
    </row>
    <row r="20" spans="1:5" x14ac:dyDescent="0.2">
      <c r="A20" s="2">
        <v>223</v>
      </c>
      <c r="B20" s="2"/>
      <c r="C20" s="2"/>
      <c r="D20" s="2"/>
      <c r="E20" s="2"/>
    </row>
    <row r="21" spans="1:5" x14ac:dyDescent="0.2">
      <c r="A21" s="2">
        <v>224</v>
      </c>
      <c r="B21" s="2"/>
      <c r="C21" s="2"/>
      <c r="D21" s="2"/>
      <c r="E21" s="2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467162-5A87-C449-8434-D262D783DB2A}">
  <dimension ref="A1:E21"/>
  <sheetViews>
    <sheetView zoomScale="120" zoomScaleNormal="120" workbookViewId="0">
      <selection activeCell="A2" sqref="A2:A21"/>
    </sheetView>
  </sheetViews>
  <sheetFormatPr baseColWidth="10" defaultRowHeight="16" x14ac:dyDescent="0.2"/>
  <sheetData>
    <row r="1" spans="1:5" x14ac:dyDescent="0.2">
      <c r="A1" s="2"/>
      <c r="B1" s="2" t="s">
        <v>1</v>
      </c>
      <c r="C1" s="2" t="s">
        <v>2</v>
      </c>
      <c r="D1" s="2" t="s">
        <v>3</v>
      </c>
      <c r="E1" s="2" t="s">
        <v>4</v>
      </c>
    </row>
    <row r="2" spans="1:5" x14ac:dyDescent="0.2">
      <c r="A2" s="2">
        <v>201</v>
      </c>
      <c r="B2" s="2"/>
      <c r="C2" s="2"/>
      <c r="D2" s="2"/>
      <c r="E2" s="2"/>
    </row>
    <row r="3" spans="1:5" x14ac:dyDescent="0.2">
      <c r="A3" s="2">
        <v>202</v>
      </c>
      <c r="B3" s="2"/>
      <c r="C3" s="2"/>
      <c r="D3" s="2"/>
      <c r="E3" s="2"/>
    </row>
    <row r="4" spans="1:5" x14ac:dyDescent="0.2">
      <c r="A4" s="2">
        <v>203</v>
      </c>
      <c r="B4" s="2"/>
      <c r="C4" s="2"/>
      <c r="D4" s="2"/>
      <c r="E4" s="2"/>
    </row>
    <row r="5" spans="1:5" x14ac:dyDescent="0.2">
      <c r="A5" s="2">
        <v>204</v>
      </c>
      <c r="B5" s="2"/>
      <c r="C5" s="2"/>
      <c r="D5" s="2"/>
      <c r="E5" s="2"/>
    </row>
    <row r="6" spans="1:5" x14ac:dyDescent="0.2">
      <c r="A6" s="2">
        <v>205</v>
      </c>
      <c r="B6" s="2"/>
      <c r="C6" s="2"/>
      <c r="D6" s="2"/>
      <c r="E6" s="2"/>
    </row>
    <row r="7" spans="1:5" x14ac:dyDescent="0.2">
      <c r="A7" s="2">
        <v>206</v>
      </c>
      <c r="B7" s="2"/>
      <c r="C7" s="2"/>
      <c r="D7" s="2"/>
      <c r="E7" s="2"/>
    </row>
    <row r="8" spans="1:5" x14ac:dyDescent="0.2">
      <c r="A8" s="2">
        <v>208</v>
      </c>
      <c r="B8" s="2"/>
      <c r="C8" s="2"/>
      <c r="D8" s="2"/>
      <c r="E8" s="2"/>
    </row>
    <row r="9" spans="1:5" x14ac:dyDescent="0.2">
      <c r="A9" s="2">
        <v>209</v>
      </c>
      <c r="B9" s="2"/>
      <c r="C9" s="2"/>
      <c r="D9" s="2"/>
      <c r="E9" s="2"/>
    </row>
    <row r="10" spans="1:5" x14ac:dyDescent="0.2">
      <c r="A10" s="2">
        <v>210</v>
      </c>
      <c r="B10" s="2"/>
      <c r="C10" s="2"/>
      <c r="D10" s="2"/>
      <c r="E10" s="2"/>
    </row>
    <row r="11" spans="1:5" x14ac:dyDescent="0.2">
      <c r="A11" s="2">
        <v>211</v>
      </c>
      <c r="B11" s="2"/>
      <c r="C11" s="2"/>
      <c r="D11" s="2"/>
      <c r="E11" s="2"/>
    </row>
    <row r="12" spans="1:5" x14ac:dyDescent="0.2">
      <c r="A12" s="2">
        <v>213</v>
      </c>
      <c r="B12" s="2"/>
      <c r="C12" s="2"/>
      <c r="D12" s="2"/>
      <c r="E12" s="2"/>
    </row>
    <row r="13" spans="1:5" x14ac:dyDescent="0.2">
      <c r="A13" s="2">
        <v>214</v>
      </c>
      <c r="B13" s="2"/>
      <c r="C13" s="2"/>
      <c r="D13" s="2"/>
      <c r="E13" s="2"/>
    </row>
    <row r="14" spans="1:5" x14ac:dyDescent="0.2">
      <c r="A14" s="2">
        <v>215</v>
      </c>
      <c r="B14" s="2"/>
      <c r="C14" s="2"/>
      <c r="D14" s="2"/>
      <c r="E14" s="2"/>
    </row>
    <row r="15" spans="1:5" x14ac:dyDescent="0.2">
      <c r="A15" s="2">
        <v>216</v>
      </c>
      <c r="B15" s="2"/>
      <c r="C15" s="2"/>
      <c r="D15" s="2"/>
      <c r="E15" s="2"/>
    </row>
    <row r="16" spans="1:5" x14ac:dyDescent="0.2">
      <c r="A16" s="2">
        <v>218</v>
      </c>
      <c r="B16" s="2"/>
      <c r="C16" s="2"/>
      <c r="D16" s="2"/>
      <c r="E16" s="2"/>
    </row>
    <row r="17" spans="1:5" x14ac:dyDescent="0.2">
      <c r="A17" s="2">
        <v>220</v>
      </c>
      <c r="B17" s="2"/>
      <c r="C17" s="2"/>
      <c r="D17" s="2"/>
      <c r="E17" s="2"/>
    </row>
    <row r="18" spans="1:5" x14ac:dyDescent="0.2">
      <c r="A18" s="2">
        <v>221</v>
      </c>
      <c r="B18" s="2"/>
      <c r="C18" s="2"/>
      <c r="D18" s="2"/>
      <c r="E18" s="2"/>
    </row>
    <row r="19" spans="1:5" x14ac:dyDescent="0.2">
      <c r="A19" s="2">
        <v>222</v>
      </c>
      <c r="B19" s="2"/>
      <c r="C19" s="2"/>
      <c r="D19" s="2"/>
      <c r="E19" s="2"/>
    </row>
    <row r="20" spans="1:5" x14ac:dyDescent="0.2">
      <c r="A20" s="2">
        <v>223</v>
      </c>
      <c r="B20" s="2"/>
      <c r="C20" s="2"/>
      <c r="D20" s="2"/>
      <c r="E20" s="2"/>
    </row>
    <row r="21" spans="1:5" x14ac:dyDescent="0.2">
      <c r="A21" s="2">
        <v>224</v>
      </c>
      <c r="B21" s="2"/>
      <c r="C21" s="2"/>
      <c r="D21" s="2"/>
      <c r="E21" s="2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44DEFC-E8E6-DC4E-A2A0-C533BC7153FC}">
  <dimension ref="A1:N21"/>
  <sheetViews>
    <sheetView zoomScale="120" zoomScaleNormal="120" workbookViewId="0">
      <selection activeCell="I21" sqref="I21:N21"/>
    </sheetView>
  </sheetViews>
  <sheetFormatPr baseColWidth="10" defaultRowHeight="16" x14ac:dyDescent="0.2"/>
  <cols>
    <col min="1" max="16384" width="10.83203125" style="2"/>
  </cols>
  <sheetData>
    <row r="1" spans="1:14" x14ac:dyDescent="0.2">
      <c r="B1" s="4" t="s">
        <v>9</v>
      </c>
      <c r="C1" s="4" t="s">
        <v>10</v>
      </c>
      <c r="D1" s="2" t="s">
        <v>11</v>
      </c>
      <c r="E1" s="2" t="s">
        <v>12</v>
      </c>
      <c r="F1" s="4" t="s">
        <v>13</v>
      </c>
      <c r="G1" s="2" t="s">
        <v>14</v>
      </c>
      <c r="I1" s="3" t="s">
        <v>9</v>
      </c>
      <c r="J1" s="3" t="s">
        <v>10</v>
      </c>
      <c r="K1" s="3" t="s">
        <v>11</v>
      </c>
      <c r="L1" s="3" t="s">
        <v>12</v>
      </c>
      <c r="M1" s="3" t="s">
        <v>13</v>
      </c>
      <c r="N1" s="3" t="s">
        <v>14</v>
      </c>
    </row>
    <row r="2" spans="1:14" x14ac:dyDescent="0.2">
      <c r="A2" s="2">
        <v>201</v>
      </c>
      <c r="B2" s="2">
        <v>145</v>
      </c>
      <c r="C2" s="2">
        <v>52</v>
      </c>
      <c r="D2" s="6">
        <f xml:space="preserve"> B2-C2-(F2/5)</f>
        <v>84</v>
      </c>
      <c r="E2" s="5">
        <f>B2/C2</f>
        <v>2.7884615384615383</v>
      </c>
      <c r="F2" s="2">
        <v>45</v>
      </c>
      <c r="G2" s="2">
        <f>B2-C2</f>
        <v>93</v>
      </c>
      <c r="I2" s="2">
        <v>145</v>
      </c>
      <c r="J2" s="2">
        <v>52</v>
      </c>
      <c r="K2" s="6">
        <v>84</v>
      </c>
      <c r="L2" s="5">
        <v>2.7884615384615383</v>
      </c>
      <c r="M2" s="2">
        <v>45</v>
      </c>
      <c r="N2" s="2">
        <v>93</v>
      </c>
    </row>
    <row r="3" spans="1:14" x14ac:dyDescent="0.2">
      <c r="A3" s="2">
        <v>202</v>
      </c>
      <c r="B3" s="2">
        <v>167</v>
      </c>
      <c r="C3" s="2">
        <v>44</v>
      </c>
      <c r="D3" s="6">
        <f t="shared" ref="D3:D21" si="0" xml:space="preserve"> B3-C3-(F3/5)</f>
        <v>112.4</v>
      </c>
      <c r="E3" s="5">
        <f t="shared" ref="E3:E21" si="1">B3/C3</f>
        <v>3.7954545454545454</v>
      </c>
      <c r="F3" s="2">
        <v>53</v>
      </c>
      <c r="G3" s="2">
        <f t="shared" ref="G3:G21" si="2">B3-C3</f>
        <v>123</v>
      </c>
      <c r="I3" s="2">
        <v>167</v>
      </c>
      <c r="J3" s="2">
        <v>44</v>
      </c>
      <c r="K3" s="6">
        <v>112.4</v>
      </c>
      <c r="L3" s="5">
        <v>3.7954545454545454</v>
      </c>
      <c r="M3" s="2">
        <v>53</v>
      </c>
      <c r="N3" s="2">
        <v>123</v>
      </c>
    </row>
    <row r="4" spans="1:14" x14ac:dyDescent="0.2">
      <c r="A4" s="2">
        <v>203</v>
      </c>
      <c r="B4" s="2">
        <v>191</v>
      </c>
      <c r="C4" s="2">
        <v>67</v>
      </c>
      <c r="D4" s="6">
        <f t="shared" si="0"/>
        <v>112.6</v>
      </c>
      <c r="E4" s="5">
        <f t="shared" si="1"/>
        <v>2.8507462686567164</v>
      </c>
      <c r="F4" s="2">
        <v>57</v>
      </c>
      <c r="G4" s="2">
        <f t="shared" si="2"/>
        <v>124</v>
      </c>
      <c r="I4" s="2">
        <v>191</v>
      </c>
      <c r="J4" s="2">
        <v>67</v>
      </c>
      <c r="K4" s="6">
        <v>112.6</v>
      </c>
      <c r="L4" s="5">
        <v>2.8507462686567164</v>
      </c>
      <c r="M4" s="2">
        <v>57</v>
      </c>
      <c r="N4" s="2">
        <v>124</v>
      </c>
    </row>
    <row r="5" spans="1:14" x14ac:dyDescent="0.2">
      <c r="A5" s="2">
        <v>204</v>
      </c>
      <c r="B5" s="2">
        <v>128</v>
      </c>
      <c r="C5" s="2">
        <v>53</v>
      </c>
      <c r="D5" s="6">
        <f t="shared" si="0"/>
        <v>64.8</v>
      </c>
      <c r="E5" s="5">
        <f t="shared" si="1"/>
        <v>2.4150943396226414</v>
      </c>
      <c r="F5" s="2">
        <v>51</v>
      </c>
      <c r="G5" s="2">
        <f t="shared" si="2"/>
        <v>75</v>
      </c>
      <c r="I5" s="2">
        <v>128</v>
      </c>
      <c r="J5" s="2">
        <v>53</v>
      </c>
      <c r="K5" s="6">
        <v>64.8</v>
      </c>
      <c r="L5" s="5">
        <v>2.4150943396226414</v>
      </c>
      <c r="M5" s="2">
        <v>51</v>
      </c>
      <c r="N5" s="2">
        <v>75</v>
      </c>
    </row>
    <row r="6" spans="1:14" x14ac:dyDescent="0.2">
      <c r="A6" s="2">
        <v>205</v>
      </c>
      <c r="B6" s="2">
        <v>141</v>
      </c>
      <c r="C6" s="2">
        <v>39</v>
      </c>
      <c r="D6" s="6">
        <f t="shared" si="0"/>
        <v>90.2</v>
      </c>
      <c r="E6" s="5">
        <f t="shared" si="1"/>
        <v>3.6153846153846154</v>
      </c>
      <c r="F6" s="2">
        <v>59</v>
      </c>
      <c r="G6" s="2">
        <f t="shared" si="2"/>
        <v>102</v>
      </c>
      <c r="I6" s="2">
        <v>141</v>
      </c>
      <c r="J6" s="2">
        <v>39</v>
      </c>
      <c r="K6" s="6">
        <v>90.2</v>
      </c>
      <c r="L6" s="5">
        <v>3.6153846153846154</v>
      </c>
      <c r="M6" s="2">
        <v>59</v>
      </c>
      <c r="N6" s="2">
        <v>102</v>
      </c>
    </row>
    <row r="7" spans="1:14" x14ac:dyDescent="0.2">
      <c r="A7" s="2">
        <v>206</v>
      </c>
      <c r="B7" s="2">
        <v>194</v>
      </c>
      <c r="C7" s="2">
        <v>44</v>
      </c>
      <c r="D7" s="6">
        <f t="shared" si="0"/>
        <v>136.4</v>
      </c>
      <c r="E7" s="5">
        <f t="shared" si="1"/>
        <v>4.4090909090909092</v>
      </c>
      <c r="F7" s="2">
        <v>68</v>
      </c>
      <c r="G7" s="2">
        <f t="shared" si="2"/>
        <v>150</v>
      </c>
      <c r="I7" s="2">
        <v>194</v>
      </c>
      <c r="J7" s="2">
        <v>44</v>
      </c>
      <c r="K7" s="6">
        <v>136.4</v>
      </c>
      <c r="L7" s="5">
        <v>4.4090909090909092</v>
      </c>
      <c r="M7" s="2">
        <v>68</v>
      </c>
      <c r="N7" s="2">
        <v>150</v>
      </c>
    </row>
    <row r="8" spans="1:14" x14ac:dyDescent="0.2">
      <c r="A8" s="2">
        <v>208</v>
      </c>
      <c r="B8" s="2">
        <v>147</v>
      </c>
      <c r="C8" s="2">
        <v>60</v>
      </c>
      <c r="D8" s="6">
        <f t="shared" si="0"/>
        <v>82.2</v>
      </c>
      <c r="E8" s="5">
        <f t="shared" si="1"/>
        <v>2.4500000000000002</v>
      </c>
      <c r="F8" s="2">
        <v>24</v>
      </c>
      <c r="G8" s="2">
        <f t="shared" si="2"/>
        <v>87</v>
      </c>
      <c r="I8" s="2">
        <v>147</v>
      </c>
      <c r="J8" s="2">
        <v>60</v>
      </c>
      <c r="K8" s="6">
        <v>82.2</v>
      </c>
      <c r="L8" s="5">
        <v>2.4500000000000002</v>
      </c>
      <c r="M8" s="2">
        <v>24</v>
      </c>
      <c r="N8" s="2">
        <v>87</v>
      </c>
    </row>
    <row r="9" spans="1:14" x14ac:dyDescent="0.2">
      <c r="A9" s="2">
        <v>209</v>
      </c>
      <c r="B9" s="2">
        <v>162</v>
      </c>
      <c r="C9" s="2">
        <v>57</v>
      </c>
      <c r="D9" s="6">
        <f t="shared" si="0"/>
        <v>98.6</v>
      </c>
      <c r="E9" s="5">
        <f t="shared" si="1"/>
        <v>2.8421052631578947</v>
      </c>
      <c r="F9" s="2">
        <v>32</v>
      </c>
      <c r="G9" s="2">
        <f t="shared" si="2"/>
        <v>105</v>
      </c>
      <c r="I9" s="2">
        <v>162</v>
      </c>
      <c r="J9" s="2">
        <v>57</v>
      </c>
      <c r="K9" s="6">
        <v>98.6</v>
      </c>
      <c r="L9" s="5">
        <v>2.8421052631578947</v>
      </c>
      <c r="M9" s="2">
        <v>32</v>
      </c>
      <c r="N9" s="2">
        <v>105</v>
      </c>
    </row>
    <row r="10" spans="1:14" x14ac:dyDescent="0.2">
      <c r="A10" s="2">
        <v>210</v>
      </c>
      <c r="B10" s="2">
        <v>208</v>
      </c>
      <c r="C10" s="2">
        <v>52</v>
      </c>
      <c r="D10" s="6">
        <f t="shared" si="0"/>
        <v>130.6</v>
      </c>
      <c r="E10" s="5">
        <f t="shared" si="1"/>
        <v>4</v>
      </c>
      <c r="F10" s="2">
        <v>127</v>
      </c>
      <c r="G10" s="2">
        <f t="shared" si="2"/>
        <v>156</v>
      </c>
      <c r="I10" s="2">
        <v>208</v>
      </c>
      <c r="J10" s="2">
        <v>52</v>
      </c>
      <c r="K10" s="6">
        <v>130.6</v>
      </c>
      <c r="L10" s="5">
        <v>4</v>
      </c>
      <c r="M10" s="2">
        <v>127</v>
      </c>
      <c r="N10" s="2">
        <v>156</v>
      </c>
    </row>
    <row r="11" spans="1:14" x14ac:dyDescent="0.2">
      <c r="A11" s="2">
        <v>211</v>
      </c>
      <c r="B11" s="2">
        <v>174</v>
      </c>
      <c r="C11" s="2">
        <v>52</v>
      </c>
      <c r="D11" s="6">
        <f t="shared" si="0"/>
        <v>115.4</v>
      </c>
      <c r="E11" s="5">
        <f t="shared" si="1"/>
        <v>3.3461538461538463</v>
      </c>
      <c r="F11" s="2">
        <v>33</v>
      </c>
      <c r="G11" s="2">
        <f t="shared" si="2"/>
        <v>122</v>
      </c>
      <c r="I11" s="2">
        <v>174</v>
      </c>
      <c r="J11" s="2">
        <v>52</v>
      </c>
      <c r="K11" s="6">
        <v>115.4</v>
      </c>
      <c r="L11" s="5">
        <v>3.3461538461538463</v>
      </c>
      <c r="M11" s="2">
        <v>33</v>
      </c>
      <c r="N11" s="2">
        <v>122</v>
      </c>
    </row>
    <row r="12" spans="1:14" x14ac:dyDescent="0.2">
      <c r="A12" s="2">
        <v>213</v>
      </c>
      <c r="B12" s="2">
        <v>226</v>
      </c>
      <c r="C12" s="2">
        <v>64</v>
      </c>
      <c r="D12" s="6">
        <f t="shared" si="0"/>
        <v>144.6</v>
      </c>
      <c r="E12" s="5">
        <f t="shared" si="1"/>
        <v>3.53125</v>
      </c>
      <c r="F12" s="2">
        <v>87</v>
      </c>
      <c r="G12" s="2">
        <f t="shared" si="2"/>
        <v>162</v>
      </c>
      <c r="I12" s="2">
        <v>226</v>
      </c>
      <c r="J12" s="2">
        <v>64</v>
      </c>
      <c r="K12" s="6">
        <v>144.6</v>
      </c>
      <c r="L12" s="5">
        <v>3.53125</v>
      </c>
      <c r="M12" s="2">
        <v>87</v>
      </c>
      <c r="N12" s="2">
        <v>162</v>
      </c>
    </row>
    <row r="13" spans="1:14" x14ac:dyDescent="0.2">
      <c r="A13" s="2">
        <v>214</v>
      </c>
      <c r="B13" s="2">
        <v>179</v>
      </c>
      <c r="C13" s="2">
        <v>58</v>
      </c>
      <c r="D13" s="6">
        <f t="shared" si="0"/>
        <v>107.8</v>
      </c>
      <c r="E13" s="5">
        <f t="shared" si="1"/>
        <v>3.0862068965517242</v>
      </c>
      <c r="F13" s="2">
        <v>66</v>
      </c>
      <c r="G13" s="2">
        <f t="shared" si="2"/>
        <v>121</v>
      </c>
      <c r="I13" s="2">
        <v>179</v>
      </c>
      <c r="J13" s="2">
        <v>58</v>
      </c>
      <c r="K13" s="6">
        <v>107.8</v>
      </c>
      <c r="L13" s="5">
        <v>3.0862068965517242</v>
      </c>
      <c r="M13" s="2">
        <v>66</v>
      </c>
      <c r="N13" s="2">
        <v>121</v>
      </c>
    </row>
    <row r="14" spans="1:14" x14ac:dyDescent="0.2">
      <c r="A14" s="2">
        <v>215</v>
      </c>
      <c r="B14" s="2">
        <v>190</v>
      </c>
      <c r="C14" s="2">
        <v>51</v>
      </c>
      <c r="D14" s="6">
        <f t="shared" si="0"/>
        <v>122.4</v>
      </c>
      <c r="E14" s="5">
        <f t="shared" si="1"/>
        <v>3.7254901960784315</v>
      </c>
      <c r="F14" s="2">
        <v>83</v>
      </c>
      <c r="G14" s="2">
        <f t="shared" si="2"/>
        <v>139</v>
      </c>
      <c r="I14" s="2">
        <v>190</v>
      </c>
      <c r="J14" s="2">
        <v>51</v>
      </c>
      <c r="K14" s="6">
        <v>122.4</v>
      </c>
      <c r="L14" s="5">
        <v>3.7254901960784315</v>
      </c>
      <c r="M14" s="2">
        <v>83</v>
      </c>
      <c r="N14" s="2">
        <v>139</v>
      </c>
    </row>
    <row r="15" spans="1:14" x14ac:dyDescent="0.2">
      <c r="A15" s="2">
        <v>216</v>
      </c>
      <c r="B15" s="2">
        <v>155</v>
      </c>
      <c r="C15" s="2">
        <v>41</v>
      </c>
      <c r="D15" s="6">
        <f t="shared" si="0"/>
        <v>99</v>
      </c>
      <c r="E15" s="5">
        <f t="shared" si="1"/>
        <v>3.7804878048780486</v>
      </c>
      <c r="F15" s="2">
        <v>75</v>
      </c>
      <c r="G15" s="2">
        <f t="shared" si="2"/>
        <v>114</v>
      </c>
      <c r="I15" s="2">
        <v>155</v>
      </c>
      <c r="J15" s="2">
        <v>41</v>
      </c>
      <c r="K15" s="6">
        <v>99</v>
      </c>
      <c r="L15" s="5">
        <v>3.7804878048780486</v>
      </c>
      <c r="M15" s="2">
        <v>75</v>
      </c>
      <c r="N15" s="2">
        <v>114</v>
      </c>
    </row>
    <row r="16" spans="1:14" x14ac:dyDescent="0.2">
      <c r="A16" s="2">
        <v>218</v>
      </c>
      <c r="B16" s="2">
        <v>169</v>
      </c>
      <c r="C16" s="2">
        <v>33</v>
      </c>
      <c r="D16" s="6">
        <f t="shared" si="0"/>
        <v>101.8</v>
      </c>
      <c r="E16" s="5">
        <f t="shared" si="1"/>
        <v>5.1212121212121211</v>
      </c>
      <c r="F16" s="2">
        <v>171</v>
      </c>
      <c r="G16" s="2">
        <f t="shared" si="2"/>
        <v>136</v>
      </c>
      <c r="I16" s="2">
        <v>169</v>
      </c>
      <c r="J16" s="2">
        <v>33</v>
      </c>
      <c r="K16" s="6">
        <v>101.8</v>
      </c>
      <c r="L16" s="5">
        <v>5.1212121212121211</v>
      </c>
      <c r="M16" s="2">
        <v>171</v>
      </c>
      <c r="N16" s="2">
        <v>136</v>
      </c>
    </row>
    <row r="17" spans="1:14" x14ac:dyDescent="0.2">
      <c r="A17" s="2">
        <v>220</v>
      </c>
      <c r="B17" s="2">
        <v>162</v>
      </c>
      <c r="C17" s="2">
        <v>76</v>
      </c>
      <c r="D17" s="6">
        <f t="shared" si="0"/>
        <v>79.400000000000006</v>
      </c>
      <c r="E17" s="5">
        <f t="shared" si="1"/>
        <v>2.1315789473684212</v>
      </c>
      <c r="F17" s="2">
        <v>33</v>
      </c>
      <c r="G17" s="2">
        <f t="shared" si="2"/>
        <v>86</v>
      </c>
      <c r="I17" s="2">
        <v>162</v>
      </c>
      <c r="J17" s="2">
        <v>76</v>
      </c>
      <c r="K17" s="6">
        <v>79.400000000000006</v>
      </c>
      <c r="L17" s="5">
        <v>2.1315789473684212</v>
      </c>
      <c r="M17" s="2">
        <v>33</v>
      </c>
      <c r="N17" s="2">
        <v>86</v>
      </c>
    </row>
    <row r="18" spans="1:14" x14ac:dyDescent="0.2">
      <c r="A18" s="2">
        <v>221</v>
      </c>
      <c r="B18" s="2">
        <v>167</v>
      </c>
      <c r="C18" s="2">
        <v>40</v>
      </c>
      <c r="D18" s="6">
        <f t="shared" si="0"/>
        <v>117.6</v>
      </c>
      <c r="E18" s="5">
        <f t="shared" si="1"/>
        <v>4.1749999999999998</v>
      </c>
      <c r="F18" s="2">
        <v>47</v>
      </c>
      <c r="G18" s="2">
        <f t="shared" si="2"/>
        <v>127</v>
      </c>
      <c r="I18" s="2">
        <v>167</v>
      </c>
      <c r="J18" s="2">
        <v>40</v>
      </c>
      <c r="K18" s="6">
        <v>117.6</v>
      </c>
      <c r="L18" s="5">
        <v>4.1749999999999998</v>
      </c>
      <c r="M18" s="2">
        <v>47</v>
      </c>
      <c r="N18" s="2">
        <v>127</v>
      </c>
    </row>
    <row r="19" spans="1:14" x14ac:dyDescent="0.2">
      <c r="A19" s="2">
        <v>222</v>
      </c>
      <c r="B19" s="2">
        <v>155</v>
      </c>
      <c r="C19" s="2">
        <v>54</v>
      </c>
      <c r="D19" s="6">
        <f t="shared" si="0"/>
        <v>93.2</v>
      </c>
      <c r="E19" s="5">
        <f t="shared" si="1"/>
        <v>2.8703703703703702</v>
      </c>
      <c r="F19" s="2">
        <v>39</v>
      </c>
      <c r="G19" s="2">
        <f t="shared" si="2"/>
        <v>101</v>
      </c>
      <c r="I19" s="2">
        <v>155</v>
      </c>
      <c r="J19" s="2">
        <v>54</v>
      </c>
      <c r="K19" s="6">
        <v>93.2</v>
      </c>
      <c r="L19" s="5">
        <v>2.8703703703703702</v>
      </c>
      <c r="M19" s="2">
        <v>39</v>
      </c>
      <c r="N19" s="2">
        <v>101</v>
      </c>
    </row>
    <row r="20" spans="1:14" x14ac:dyDescent="0.2">
      <c r="A20" s="2">
        <v>223</v>
      </c>
      <c r="B20" s="2">
        <v>166</v>
      </c>
      <c r="C20" s="2">
        <v>51</v>
      </c>
      <c r="D20" s="6">
        <f t="shared" si="0"/>
        <v>104</v>
      </c>
      <c r="E20" s="5">
        <f t="shared" si="1"/>
        <v>3.2549019607843137</v>
      </c>
      <c r="F20" s="2">
        <v>55</v>
      </c>
      <c r="G20" s="2">
        <f t="shared" si="2"/>
        <v>115</v>
      </c>
      <c r="I20" s="2">
        <v>166</v>
      </c>
      <c r="J20" s="2">
        <v>51</v>
      </c>
      <c r="K20" s="6">
        <v>104</v>
      </c>
      <c r="L20" s="5">
        <v>3.2549019607843137</v>
      </c>
      <c r="M20" s="2">
        <v>55</v>
      </c>
      <c r="N20" s="2">
        <v>115</v>
      </c>
    </row>
    <row r="21" spans="1:14" x14ac:dyDescent="0.2">
      <c r="A21" s="2">
        <v>224</v>
      </c>
      <c r="B21" s="2">
        <v>194</v>
      </c>
      <c r="C21" s="2">
        <v>47</v>
      </c>
      <c r="D21" s="6">
        <f t="shared" si="0"/>
        <v>136</v>
      </c>
      <c r="E21" s="5">
        <f t="shared" si="1"/>
        <v>4.1276595744680851</v>
      </c>
      <c r="F21" s="2">
        <v>55</v>
      </c>
      <c r="G21" s="2">
        <f t="shared" si="2"/>
        <v>147</v>
      </c>
      <c r="I21" s="2">
        <v>194</v>
      </c>
      <c r="J21" s="2">
        <v>47</v>
      </c>
      <c r="K21" s="6">
        <v>136</v>
      </c>
      <c r="L21" s="5">
        <v>4.1276595744680851</v>
      </c>
      <c r="M21" s="2">
        <v>55</v>
      </c>
      <c r="N21" s="2">
        <v>147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D1C2D2-7530-374D-A193-79622E0677B5}">
  <dimension ref="A1:N21"/>
  <sheetViews>
    <sheetView zoomScale="120" zoomScaleNormal="120" workbookViewId="0">
      <selection activeCell="I2" sqref="I2:N21"/>
    </sheetView>
  </sheetViews>
  <sheetFormatPr baseColWidth="10" defaultRowHeight="16" x14ac:dyDescent="0.2"/>
  <sheetData>
    <row r="1" spans="1:14" x14ac:dyDescent="0.2">
      <c r="A1" s="2"/>
      <c r="B1" s="4" t="s">
        <v>9</v>
      </c>
      <c r="C1" s="4" t="s">
        <v>10</v>
      </c>
      <c r="D1" s="2" t="s">
        <v>11</v>
      </c>
      <c r="E1" s="2" t="s">
        <v>12</v>
      </c>
      <c r="F1" s="4" t="s">
        <v>13</v>
      </c>
      <c r="G1" s="2" t="s">
        <v>14</v>
      </c>
      <c r="I1" s="2" t="s">
        <v>9</v>
      </c>
      <c r="J1" s="2" t="s">
        <v>10</v>
      </c>
      <c r="K1" s="2" t="s">
        <v>11</v>
      </c>
      <c r="L1" s="2" t="s">
        <v>12</v>
      </c>
      <c r="M1" s="2" t="s">
        <v>13</v>
      </c>
      <c r="N1" s="2" t="s">
        <v>14</v>
      </c>
    </row>
    <row r="2" spans="1:14" x14ac:dyDescent="0.2">
      <c r="A2" s="2">
        <v>201</v>
      </c>
      <c r="B2" s="2">
        <v>143</v>
      </c>
      <c r="C2" s="2">
        <v>44</v>
      </c>
      <c r="D2" s="6">
        <f xml:space="preserve"> B2-C2-(F2/5)</f>
        <v>90.2</v>
      </c>
      <c r="E2" s="5">
        <f>B2/C2</f>
        <v>3.25</v>
      </c>
      <c r="F2" s="2">
        <v>44</v>
      </c>
      <c r="G2" s="2">
        <f>B2-C2</f>
        <v>99</v>
      </c>
      <c r="I2" s="2">
        <v>143</v>
      </c>
      <c r="J2" s="2">
        <v>44</v>
      </c>
      <c r="K2" s="6">
        <v>90.2</v>
      </c>
      <c r="L2" s="5">
        <v>3.25</v>
      </c>
      <c r="M2" s="2">
        <v>44</v>
      </c>
      <c r="N2" s="2">
        <v>99</v>
      </c>
    </row>
    <row r="3" spans="1:14" x14ac:dyDescent="0.2">
      <c r="A3" s="2">
        <v>202</v>
      </c>
      <c r="B3" s="2">
        <v>174</v>
      </c>
      <c r="C3" s="2">
        <v>46</v>
      </c>
      <c r="D3" s="6">
        <f t="shared" ref="D3:D21" si="0" xml:space="preserve"> B3-C3-(F3/5)</f>
        <v>118.4</v>
      </c>
      <c r="E3" s="5">
        <f t="shared" ref="E3:E21" si="1">B3/C3</f>
        <v>3.7826086956521738</v>
      </c>
      <c r="F3" s="2">
        <v>48</v>
      </c>
      <c r="G3" s="2">
        <f t="shared" ref="G3:G21" si="2">B3-C3</f>
        <v>128</v>
      </c>
      <c r="I3" s="2">
        <v>174</v>
      </c>
      <c r="J3" s="2">
        <v>46</v>
      </c>
      <c r="K3" s="6">
        <v>118.4</v>
      </c>
      <c r="L3" s="5">
        <v>3.7826086956521738</v>
      </c>
      <c r="M3" s="2">
        <v>48</v>
      </c>
      <c r="N3" s="2">
        <v>128</v>
      </c>
    </row>
    <row r="4" spans="1:14" x14ac:dyDescent="0.2">
      <c r="A4" s="2">
        <v>203</v>
      </c>
      <c r="B4" s="2">
        <v>193</v>
      </c>
      <c r="C4" s="2">
        <v>72</v>
      </c>
      <c r="D4" s="6">
        <f t="shared" si="0"/>
        <v>111</v>
      </c>
      <c r="E4" s="5">
        <f t="shared" si="1"/>
        <v>2.6805555555555554</v>
      </c>
      <c r="F4" s="2">
        <v>50</v>
      </c>
      <c r="G4" s="2">
        <f t="shared" si="2"/>
        <v>121</v>
      </c>
      <c r="I4" s="2">
        <v>193</v>
      </c>
      <c r="J4" s="2">
        <v>72</v>
      </c>
      <c r="K4" s="6">
        <v>111</v>
      </c>
      <c r="L4" s="5">
        <v>2.6805555555555554</v>
      </c>
      <c r="M4" s="2">
        <v>50</v>
      </c>
      <c r="N4" s="2">
        <v>121</v>
      </c>
    </row>
    <row r="5" spans="1:14" x14ac:dyDescent="0.2">
      <c r="A5" s="2">
        <v>204</v>
      </c>
      <c r="B5" s="2">
        <v>148</v>
      </c>
      <c r="C5" s="2">
        <v>62</v>
      </c>
      <c r="D5" s="6">
        <f t="shared" si="0"/>
        <v>73.400000000000006</v>
      </c>
      <c r="E5" s="5">
        <f t="shared" si="1"/>
        <v>2.3870967741935485</v>
      </c>
      <c r="F5" s="2">
        <v>63</v>
      </c>
      <c r="G5" s="2">
        <f t="shared" si="2"/>
        <v>86</v>
      </c>
      <c r="I5" s="2">
        <v>148</v>
      </c>
      <c r="J5" s="2">
        <v>62</v>
      </c>
      <c r="K5" s="6">
        <v>73.400000000000006</v>
      </c>
      <c r="L5" s="5">
        <v>2.3870967741935485</v>
      </c>
      <c r="M5" s="2">
        <v>63</v>
      </c>
      <c r="N5" s="2">
        <v>86</v>
      </c>
    </row>
    <row r="6" spans="1:14" x14ac:dyDescent="0.2">
      <c r="A6" s="2">
        <v>205</v>
      </c>
      <c r="B6" s="2">
        <v>154</v>
      </c>
      <c r="C6" s="2">
        <v>39</v>
      </c>
      <c r="D6" s="6">
        <f t="shared" si="0"/>
        <v>96.6</v>
      </c>
      <c r="E6" s="5">
        <f t="shared" si="1"/>
        <v>3.9487179487179489</v>
      </c>
      <c r="F6" s="2">
        <v>92</v>
      </c>
      <c r="G6" s="2">
        <f t="shared" si="2"/>
        <v>115</v>
      </c>
      <c r="I6" s="2">
        <v>154</v>
      </c>
      <c r="J6" s="2">
        <v>39</v>
      </c>
      <c r="K6" s="6">
        <v>96.6</v>
      </c>
      <c r="L6" s="5">
        <v>3.9487179487179489</v>
      </c>
      <c r="M6" s="2">
        <v>92</v>
      </c>
      <c r="N6" s="2">
        <v>115</v>
      </c>
    </row>
    <row r="7" spans="1:14" x14ac:dyDescent="0.2">
      <c r="A7" s="2">
        <v>206</v>
      </c>
      <c r="B7" s="2">
        <v>196</v>
      </c>
      <c r="C7" s="2">
        <v>47</v>
      </c>
      <c r="D7" s="6">
        <f t="shared" si="0"/>
        <v>137.6</v>
      </c>
      <c r="E7" s="5">
        <f t="shared" si="1"/>
        <v>4.1702127659574471</v>
      </c>
      <c r="F7" s="2">
        <v>57</v>
      </c>
      <c r="G7" s="2">
        <f t="shared" si="2"/>
        <v>149</v>
      </c>
      <c r="I7" s="2">
        <v>196</v>
      </c>
      <c r="J7" s="2">
        <v>47</v>
      </c>
      <c r="K7" s="6">
        <v>137.6</v>
      </c>
      <c r="L7" s="5">
        <v>4.1702127659574471</v>
      </c>
      <c r="M7" s="2">
        <v>57</v>
      </c>
      <c r="N7" s="2">
        <v>149</v>
      </c>
    </row>
    <row r="8" spans="1:14" x14ac:dyDescent="0.2">
      <c r="A8" s="2">
        <v>208</v>
      </c>
      <c r="B8" s="2">
        <v>166</v>
      </c>
      <c r="C8" s="2">
        <v>57</v>
      </c>
      <c r="D8" s="6">
        <f t="shared" si="0"/>
        <v>102.4</v>
      </c>
      <c r="E8" s="5">
        <f t="shared" si="1"/>
        <v>2.9122807017543861</v>
      </c>
      <c r="F8" s="2">
        <v>33</v>
      </c>
      <c r="G8" s="2">
        <f t="shared" si="2"/>
        <v>109</v>
      </c>
      <c r="I8" s="2">
        <v>166</v>
      </c>
      <c r="J8" s="2">
        <v>57</v>
      </c>
      <c r="K8" s="6">
        <v>102.4</v>
      </c>
      <c r="L8" s="5">
        <v>2.9122807017543861</v>
      </c>
      <c r="M8" s="2">
        <v>33</v>
      </c>
      <c r="N8" s="2">
        <v>109</v>
      </c>
    </row>
    <row r="9" spans="1:14" x14ac:dyDescent="0.2">
      <c r="A9" s="2">
        <v>209</v>
      </c>
      <c r="B9" s="2">
        <v>192</v>
      </c>
      <c r="C9" s="2">
        <v>54</v>
      </c>
      <c r="D9" s="6">
        <f t="shared" si="0"/>
        <v>129.19999999999999</v>
      </c>
      <c r="E9" s="5">
        <f t="shared" si="1"/>
        <v>3.5555555555555554</v>
      </c>
      <c r="F9" s="2">
        <v>44</v>
      </c>
      <c r="G9" s="2">
        <f t="shared" si="2"/>
        <v>138</v>
      </c>
      <c r="I9" s="2">
        <v>192</v>
      </c>
      <c r="J9" s="2">
        <v>54</v>
      </c>
      <c r="K9" s="6">
        <v>129.19999999999999</v>
      </c>
      <c r="L9" s="5">
        <v>3.5555555555555554</v>
      </c>
      <c r="M9" s="2">
        <v>44</v>
      </c>
      <c r="N9" s="2">
        <v>138</v>
      </c>
    </row>
    <row r="10" spans="1:14" x14ac:dyDescent="0.2">
      <c r="A10" s="2">
        <v>210</v>
      </c>
      <c r="B10" s="2">
        <v>218</v>
      </c>
      <c r="C10" s="2">
        <v>52</v>
      </c>
      <c r="D10" s="6">
        <f t="shared" si="0"/>
        <v>143.6</v>
      </c>
      <c r="E10" s="5">
        <f t="shared" si="1"/>
        <v>4.1923076923076925</v>
      </c>
      <c r="F10" s="2">
        <v>112</v>
      </c>
      <c r="G10" s="2">
        <f t="shared" si="2"/>
        <v>166</v>
      </c>
      <c r="I10" s="2">
        <v>218</v>
      </c>
      <c r="J10" s="2">
        <v>52</v>
      </c>
      <c r="K10" s="6">
        <v>143.6</v>
      </c>
      <c r="L10" s="5">
        <v>4.1923076923076925</v>
      </c>
      <c r="M10" s="2">
        <v>112</v>
      </c>
      <c r="N10" s="2">
        <v>166</v>
      </c>
    </row>
    <row r="11" spans="1:14" x14ac:dyDescent="0.2">
      <c r="A11" s="2">
        <v>211</v>
      </c>
      <c r="B11" s="2">
        <v>160</v>
      </c>
      <c r="C11" s="2">
        <v>51</v>
      </c>
      <c r="D11" s="6">
        <f t="shared" si="0"/>
        <v>99</v>
      </c>
      <c r="E11" s="5">
        <f t="shared" si="1"/>
        <v>3.1372549019607843</v>
      </c>
      <c r="F11" s="2">
        <v>50</v>
      </c>
      <c r="G11" s="2">
        <f t="shared" si="2"/>
        <v>109</v>
      </c>
      <c r="I11" s="2">
        <v>160</v>
      </c>
      <c r="J11" s="2">
        <v>51</v>
      </c>
      <c r="K11" s="6">
        <v>99</v>
      </c>
      <c r="L11" s="5">
        <v>3.1372549019607843</v>
      </c>
      <c r="M11" s="2">
        <v>50</v>
      </c>
      <c r="N11" s="2">
        <v>109</v>
      </c>
    </row>
    <row r="12" spans="1:14" x14ac:dyDescent="0.2">
      <c r="A12" s="2">
        <v>213</v>
      </c>
      <c r="B12" s="2">
        <v>222</v>
      </c>
      <c r="C12" s="2">
        <v>68</v>
      </c>
      <c r="D12" s="6">
        <f t="shared" si="0"/>
        <v>141.6</v>
      </c>
      <c r="E12" s="5">
        <f t="shared" si="1"/>
        <v>3.2647058823529411</v>
      </c>
      <c r="F12" s="2">
        <v>62</v>
      </c>
      <c r="G12" s="2">
        <f t="shared" si="2"/>
        <v>154</v>
      </c>
      <c r="I12" s="2">
        <v>222</v>
      </c>
      <c r="J12" s="2">
        <v>68</v>
      </c>
      <c r="K12" s="6">
        <v>141.6</v>
      </c>
      <c r="L12" s="5">
        <v>3.2647058823529411</v>
      </c>
      <c r="M12" s="2">
        <v>62</v>
      </c>
      <c r="N12" s="2">
        <v>154</v>
      </c>
    </row>
    <row r="13" spans="1:14" x14ac:dyDescent="0.2">
      <c r="A13" s="2">
        <v>214</v>
      </c>
      <c r="B13" s="2">
        <v>189</v>
      </c>
      <c r="C13" s="2">
        <v>57</v>
      </c>
      <c r="D13" s="6">
        <f t="shared" si="0"/>
        <v>121</v>
      </c>
      <c r="E13" s="5">
        <f t="shared" si="1"/>
        <v>3.3157894736842106</v>
      </c>
      <c r="F13" s="2">
        <v>55</v>
      </c>
      <c r="G13" s="2">
        <f t="shared" si="2"/>
        <v>132</v>
      </c>
      <c r="I13" s="2">
        <v>189</v>
      </c>
      <c r="J13" s="2">
        <v>57</v>
      </c>
      <c r="K13" s="6">
        <v>121</v>
      </c>
      <c r="L13" s="5">
        <v>3.3157894736842106</v>
      </c>
      <c r="M13" s="2">
        <v>55</v>
      </c>
      <c r="N13" s="2">
        <v>132</v>
      </c>
    </row>
    <row r="14" spans="1:14" x14ac:dyDescent="0.2">
      <c r="A14" s="2">
        <v>215</v>
      </c>
      <c r="B14" s="2">
        <v>167</v>
      </c>
      <c r="C14" s="2">
        <v>52</v>
      </c>
      <c r="D14" s="6">
        <f t="shared" si="0"/>
        <v>104.4</v>
      </c>
      <c r="E14" s="5">
        <f t="shared" si="1"/>
        <v>3.2115384615384617</v>
      </c>
      <c r="F14" s="2">
        <v>53</v>
      </c>
      <c r="G14" s="2">
        <f t="shared" si="2"/>
        <v>115</v>
      </c>
      <c r="I14" s="2">
        <v>167</v>
      </c>
      <c r="J14" s="2">
        <v>52</v>
      </c>
      <c r="K14" s="6">
        <v>104.4</v>
      </c>
      <c r="L14" s="5">
        <v>3.2115384615384617</v>
      </c>
      <c r="M14" s="2">
        <v>53</v>
      </c>
      <c r="N14" s="2">
        <v>115</v>
      </c>
    </row>
    <row r="15" spans="1:14" x14ac:dyDescent="0.2">
      <c r="A15" s="2">
        <v>216</v>
      </c>
      <c r="B15" s="2">
        <v>136</v>
      </c>
      <c r="C15" s="2">
        <v>36</v>
      </c>
      <c r="D15" s="6">
        <f t="shared" si="0"/>
        <v>84</v>
      </c>
      <c r="E15" s="5">
        <f t="shared" si="1"/>
        <v>3.7777777777777777</v>
      </c>
      <c r="F15" s="2">
        <v>80</v>
      </c>
      <c r="G15" s="2">
        <f t="shared" si="2"/>
        <v>100</v>
      </c>
      <c r="I15" s="2">
        <v>136</v>
      </c>
      <c r="J15" s="2">
        <v>36</v>
      </c>
      <c r="K15" s="6">
        <v>84</v>
      </c>
      <c r="L15" s="5">
        <v>3.7777777777777777</v>
      </c>
      <c r="M15" s="2">
        <v>80</v>
      </c>
      <c r="N15" s="2">
        <v>100</v>
      </c>
    </row>
    <row r="16" spans="1:14" x14ac:dyDescent="0.2">
      <c r="A16" s="2">
        <v>218</v>
      </c>
      <c r="B16" s="2">
        <v>171</v>
      </c>
      <c r="C16" s="2">
        <v>34</v>
      </c>
      <c r="D16" s="6">
        <f t="shared" si="0"/>
        <v>106.2</v>
      </c>
      <c r="E16" s="5">
        <f t="shared" si="1"/>
        <v>5.0294117647058822</v>
      </c>
      <c r="F16" s="2">
        <v>154</v>
      </c>
      <c r="G16" s="2">
        <f t="shared" si="2"/>
        <v>137</v>
      </c>
      <c r="I16" s="2">
        <v>171</v>
      </c>
      <c r="J16" s="2">
        <v>34</v>
      </c>
      <c r="K16" s="6">
        <v>106.2</v>
      </c>
      <c r="L16" s="5">
        <v>5.0294117647058822</v>
      </c>
      <c r="M16" s="2">
        <v>154</v>
      </c>
      <c r="N16" s="2">
        <v>137</v>
      </c>
    </row>
    <row r="17" spans="1:14" x14ac:dyDescent="0.2">
      <c r="A17" s="2">
        <v>220</v>
      </c>
      <c r="B17" s="2">
        <v>176</v>
      </c>
      <c r="C17" s="2">
        <v>94</v>
      </c>
      <c r="D17" s="6">
        <f t="shared" si="0"/>
        <v>73.400000000000006</v>
      </c>
      <c r="E17" s="5">
        <f t="shared" si="1"/>
        <v>1.8723404255319149</v>
      </c>
      <c r="F17" s="2">
        <v>43</v>
      </c>
      <c r="G17" s="2">
        <f t="shared" si="2"/>
        <v>82</v>
      </c>
      <c r="I17" s="2">
        <v>176</v>
      </c>
      <c r="J17" s="2">
        <v>94</v>
      </c>
      <c r="K17" s="6">
        <v>73.400000000000006</v>
      </c>
      <c r="L17" s="5">
        <v>1.8723404255319149</v>
      </c>
      <c r="M17" s="2">
        <v>43</v>
      </c>
      <c r="N17" s="2">
        <v>82</v>
      </c>
    </row>
    <row r="18" spans="1:14" x14ac:dyDescent="0.2">
      <c r="A18" s="2">
        <v>221</v>
      </c>
      <c r="B18" s="2">
        <v>165</v>
      </c>
      <c r="C18" s="2">
        <v>40</v>
      </c>
      <c r="D18" s="6">
        <f t="shared" si="0"/>
        <v>113.8</v>
      </c>
      <c r="E18" s="5">
        <f t="shared" si="1"/>
        <v>4.125</v>
      </c>
      <c r="F18" s="2">
        <v>56</v>
      </c>
      <c r="G18" s="2">
        <f t="shared" si="2"/>
        <v>125</v>
      </c>
      <c r="I18" s="2">
        <v>165</v>
      </c>
      <c r="J18" s="2">
        <v>40</v>
      </c>
      <c r="K18" s="6">
        <v>113.8</v>
      </c>
      <c r="L18" s="5">
        <v>4.125</v>
      </c>
      <c r="M18" s="2">
        <v>56</v>
      </c>
      <c r="N18" s="2">
        <v>125</v>
      </c>
    </row>
    <row r="19" spans="1:14" x14ac:dyDescent="0.2">
      <c r="A19" s="2">
        <v>222</v>
      </c>
      <c r="B19" s="2">
        <v>157</v>
      </c>
      <c r="C19" s="2">
        <v>59</v>
      </c>
      <c r="D19" s="6">
        <f t="shared" si="0"/>
        <v>88</v>
      </c>
      <c r="E19" s="5">
        <f t="shared" si="1"/>
        <v>2.6610169491525424</v>
      </c>
      <c r="F19" s="2">
        <v>50</v>
      </c>
      <c r="G19" s="2">
        <f t="shared" si="2"/>
        <v>98</v>
      </c>
      <c r="I19" s="2">
        <v>157</v>
      </c>
      <c r="J19" s="2">
        <v>59</v>
      </c>
      <c r="K19" s="6">
        <v>88</v>
      </c>
      <c r="L19" s="5">
        <v>2.6610169491525424</v>
      </c>
      <c r="M19" s="2">
        <v>50</v>
      </c>
      <c r="N19" s="2">
        <v>98</v>
      </c>
    </row>
    <row r="20" spans="1:14" x14ac:dyDescent="0.2">
      <c r="A20" s="2">
        <v>223</v>
      </c>
      <c r="B20" s="2">
        <v>164</v>
      </c>
      <c r="C20" s="2">
        <v>59</v>
      </c>
      <c r="D20" s="6">
        <f t="shared" si="0"/>
        <v>92.6</v>
      </c>
      <c r="E20" s="5">
        <f t="shared" si="1"/>
        <v>2.7796610169491527</v>
      </c>
      <c r="F20" s="2">
        <v>62</v>
      </c>
      <c r="G20" s="2">
        <f t="shared" si="2"/>
        <v>105</v>
      </c>
      <c r="I20" s="2">
        <v>164</v>
      </c>
      <c r="J20" s="2">
        <v>59</v>
      </c>
      <c r="K20" s="6">
        <v>92.6</v>
      </c>
      <c r="L20" s="5">
        <v>2.7796610169491527</v>
      </c>
      <c r="M20" s="2">
        <v>62</v>
      </c>
      <c r="N20" s="2">
        <v>105</v>
      </c>
    </row>
    <row r="21" spans="1:14" x14ac:dyDescent="0.2">
      <c r="A21" s="2">
        <v>224</v>
      </c>
      <c r="B21" s="2">
        <v>178</v>
      </c>
      <c r="C21" s="2">
        <v>47</v>
      </c>
      <c r="D21" s="6">
        <f t="shared" si="0"/>
        <v>114.6</v>
      </c>
      <c r="E21" s="5">
        <f t="shared" si="1"/>
        <v>3.7872340425531914</v>
      </c>
      <c r="F21" s="2">
        <v>82</v>
      </c>
      <c r="G21" s="2">
        <f t="shared" si="2"/>
        <v>131</v>
      </c>
      <c r="I21" s="2">
        <v>178</v>
      </c>
      <c r="J21" s="2">
        <v>47</v>
      </c>
      <c r="K21" s="6">
        <v>114.6</v>
      </c>
      <c r="L21" s="5">
        <v>3.7872340425531914</v>
      </c>
      <c r="M21" s="2">
        <v>82</v>
      </c>
      <c r="N21" s="2">
        <v>131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4C8A45-9EBB-F24F-8A33-E8C61F554C7F}">
  <dimension ref="A1:N21"/>
  <sheetViews>
    <sheetView zoomScale="120" zoomScaleNormal="120" workbookViewId="0">
      <selection activeCell="I2" sqref="I2:N21"/>
    </sheetView>
  </sheetViews>
  <sheetFormatPr baseColWidth="10" defaultRowHeight="16" x14ac:dyDescent="0.2"/>
  <cols>
    <col min="1" max="16384" width="10.83203125" style="2"/>
  </cols>
  <sheetData>
    <row r="1" spans="1:14" x14ac:dyDescent="0.2">
      <c r="B1" s="4" t="s">
        <v>9</v>
      </c>
      <c r="C1" s="4" t="s">
        <v>10</v>
      </c>
      <c r="D1" s="2" t="s">
        <v>11</v>
      </c>
      <c r="E1" s="2" t="s">
        <v>12</v>
      </c>
      <c r="F1" s="4" t="s">
        <v>13</v>
      </c>
      <c r="G1" s="2" t="s">
        <v>14</v>
      </c>
      <c r="I1" s="2" t="s">
        <v>9</v>
      </c>
      <c r="J1" s="2" t="s">
        <v>10</v>
      </c>
      <c r="K1" s="2" t="s">
        <v>11</v>
      </c>
      <c r="L1" s="2" t="s">
        <v>12</v>
      </c>
      <c r="M1" s="2" t="s">
        <v>13</v>
      </c>
      <c r="N1" s="2" t="s">
        <v>14</v>
      </c>
    </row>
    <row r="2" spans="1:14" x14ac:dyDescent="0.2">
      <c r="A2" s="2">
        <v>201</v>
      </c>
      <c r="B2" s="2">
        <v>153</v>
      </c>
      <c r="C2" s="2">
        <v>48</v>
      </c>
      <c r="D2" s="6">
        <f>B2-C2-(F2/5)</f>
        <v>78.2</v>
      </c>
      <c r="E2" s="5">
        <f>B2/C2</f>
        <v>3.1875</v>
      </c>
      <c r="F2" s="2">
        <v>134</v>
      </c>
      <c r="G2" s="2">
        <f>B2-C2</f>
        <v>105</v>
      </c>
      <c r="I2" s="2">
        <v>153</v>
      </c>
      <c r="J2" s="2">
        <v>48</v>
      </c>
      <c r="K2" s="6">
        <v>78.2</v>
      </c>
      <c r="L2" s="5">
        <v>3.1875</v>
      </c>
      <c r="M2" s="2">
        <v>134</v>
      </c>
      <c r="N2" s="2">
        <v>105</v>
      </c>
    </row>
    <row r="3" spans="1:14" x14ac:dyDescent="0.2">
      <c r="A3" s="2">
        <v>202</v>
      </c>
      <c r="B3" s="2">
        <v>178</v>
      </c>
      <c r="C3" s="2">
        <v>46</v>
      </c>
      <c r="D3" s="6">
        <f t="shared" ref="D3:D21" si="0">B3-C3-(F3/5)</f>
        <v>120.4</v>
      </c>
      <c r="E3" s="5">
        <f t="shared" ref="E3:E21" si="1">B3/C3</f>
        <v>3.8695652173913042</v>
      </c>
      <c r="F3" s="2">
        <v>58</v>
      </c>
      <c r="G3" s="2">
        <f t="shared" ref="G3:G21" si="2">B3-C3</f>
        <v>132</v>
      </c>
      <c r="I3" s="2">
        <v>178</v>
      </c>
      <c r="J3" s="2">
        <v>46</v>
      </c>
      <c r="K3" s="6">
        <v>120.4</v>
      </c>
      <c r="L3" s="5">
        <v>3.8695652173913042</v>
      </c>
      <c r="M3" s="2">
        <v>58</v>
      </c>
      <c r="N3" s="2">
        <v>132</v>
      </c>
    </row>
    <row r="4" spans="1:14" x14ac:dyDescent="0.2">
      <c r="A4" s="2">
        <v>203</v>
      </c>
      <c r="B4" s="2">
        <v>184</v>
      </c>
      <c r="C4" s="2">
        <v>71</v>
      </c>
      <c r="D4" s="6">
        <f t="shared" si="0"/>
        <v>105.8</v>
      </c>
      <c r="E4" s="5">
        <f t="shared" si="1"/>
        <v>2.591549295774648</v>
      </c>
      <c r="F4" s="2">
        <v>36</v>
      </c>
      <c r="G4" s="2">
        <f t="shared" si="2"/>
        <v>113</v>
      </c>
      <c r="I4" s="2">
        <v>184</v>
      </c>
      <c r="J4" s="2">
        <v>71</v>
      </c>
      <c r="K4" s="6">
        <v>105.8</v>
      </c>
      <c r="L4" s="5">
        <v>2.591549295774648</v>
      </c>
      <c r="M4" s="2">
        <v>36</v>
      </c>
      <c r="N4" s="2">
        <v>113</v>
      </c>
    </row>
    <row r="5" spans="1:14" x14ac:dyDescent="0.2">
      <c r="A5" s="2">
        <v>204</v>
      </c>
      <c r="B5" s="2">
        <v>138</v>
      </c>
      <c r="C5" s="2">
        <v>54</v>
      </c>
      <c r="D5" s="6">
        <f t="shared" si="0"/>
        <v>59.8</v>
      </c>
      <c r="E5" s="5">
        <f t="shared" si="1"/>
        <v>2.5555555555555554</v>
      </c>
      <c r="F5" s="2">
        <v>121</v>
      </c>
      <c r="G5" s="2">
        <f t="shared" si="2"/>
        <v>84</v>
      </c>
      <c r="I5" s="2">
        <v>138</v>
      </c>
      <c r="J5" s="2">
        <v>54</v>
      </c>
      <c r="K5" s="6">
        <v>59.8</v>
      </c>
      <c r="L5" s="5">
        <v>2.5555555555555554</v>
      </c>
      <c r="M5" s="2">
        <v>121</v>
      </c>
      <c r="N5" s="2">
        <v>84</v>
      </c>
    </row>
    <row r="6" spans="1:14" x14ac:dyDescent="0.2">
      <c r="A6" s="2">
        <v>205</v>
      </c>
      <c r="B6" s="2">
        <v>150</v>
      </c>
      <c r="C6" s="2">
        <v>33</v>
      </c>
      <c r="D6" s="6">
        <f t="shared" si="0"/>
        <v>92.8</v>
      </c>
      <c r="E6" s="5">
        <f t="shared" si="1"/>
        <v>4.5454545454545459</v>
      </c>
      <c r="F6" s="2">
        <v>121</v>
      </c>
      <c r="G6" s="2">
        <f t="shared" si="2"/>
        <v>117</v>
      </c>
      <c r="I6" s="2">
        <v>150</v>
      </c>
      <c r="J6" s="2">
        <v>33</v>
      </c>
      <c r="K6" s="6">
        <v>92.8</v>
      </c>
      <c r="L6" s="5">
        <v>4.5454545454545459</v>
      </c>
      <c r="M6" s="2">
        <v>121</v>
      </c>
      <c r="N6" s="2">
        <v>117</v>
      </c>
    </row>
    <row r="7" spans="1:14" x14ac:dyDescent="0.2">
      <c r="A7" s="2">
        <v>206</v>
      </c>
      <c r="B7" s="2">
        <v>227</v>
      </c>
      <c r="C7" s="2">
        <v>55</v>
      </c>
      <c r="D7" s="6">
        <f t="shared" si="0"/>
        <v>156.4</v>
      </c>
      <c r="E7" s="5">
        <f t="shared" si="1"/>
        <v>4.127272727272727</v>
      </c>
      <c r="F7" s="2">
        <v>78</v>
      </c>
      <c r="G7" s="2">
        <f t="shared" si="2"/>
        <v>172</v>
      </c>
      <c r="I7" s="2">
        <v>227</v>
      </c>
      <c r="J7" s="2">
        <v>55</v>
      </c>
      <c r="K7" s="6">
        <v>156.4</v>
      </c>
      <c r="L7" s="5">
        <v>4.127272727272727</v>
      </c>
      <c r="M7" s="2">
        <v>78</v>
      </c>
      <c r="N7" s="2">
        <v>172</v>
      </c>
    </row>
    <row r="8" spans="1:14" x14ac:dyDescent="0.2">
      <c r="A8" s="2">
        <v>208</v>
      </c>
      <c r="B8" s="2">
        <v>163</v>
      </c>
      <c r="C8" s="2">
        <v>57</v>
      </c>
      <c r="D8" s="6">
        <f t="shared" si="0"/>
        <v>96.4</v>
      </c>
      <c r="E8" s="5">
        <f t="shared" si="1"/>
        <v>2.8596491228070176</v>
      </c>
      <c r="F8" s="2">
        <v>48</v>
      </c>
      <c r="G8" s="2">
        <f t="shared" si="2"/>
        <v>106</v>
      </c>
      <c r="I8" s="2">
        <v>163</v>
      </c>
      <c r="J8" s="2">
        <v>57</v>
      </c>
      <c r="K8" s="6">
        <v>96.4</v>
      </c>
      <c r="L8" s="5">
        <v>2.8596491228070176</v>
      </c>
      <c r="M8" s="2">
        <v>48</v>
      </c>
      <c r="N8" s="2">
        <v>106</v>
      </c>
    </row>
    <row r="9" spans="1:14" x14ac:dyDescent="0.2">
      <c r="A9" s="2">
        <v>209</v>
      </c>
      <c r="B9" s="2">
        <v>201</v>
      </c>
      <c r="C9" s="2">
        <v>55</v>
      </c>
      <c r="D9" s="6">
        <f t="shared" si="0"/>
        <v>135.80000000000001</v>
      </c>
      <c r="E9" s="5">
        <f t="shared" si="1"/>
        <v>3.6545454545454548</v>
      </c>
      <c r="F9" s="2">
        <v>51</v>
      </c>
      <c r="G9" s="2">
        <f t="shared" si="2"/>
        <v>146</v>
      </c>
      <c r="I9" s="2">
        <v>201</v>
      </c>
      <c r="J9" s="2">
        <v>55</v>
      </c>
      <c r="K9" s="6">
        <v>135.80000000000001</v>
      </c>
      <c r="L9" s="5">
        <v>3.6545454545454548</v>
      </c>
      <c r="M9" s="2">
        <v>51</v>
      </c>
      <c r="N9" s="2">
        <v>146</v>
      </c>
    </row>
    <row r="10" spans="1:14" x14ac:dyDescent="0.2">
      <c r="A10" s="2">
        <v>210</v>
      </c>
      <c r="B10" s="2">
        <v>203</v>
      </c>
      <c r="C10" s="2">
        <v>50</v>
      </c>
      <c r="D10" s="6">
        <f t="shared" si="0"/>
        <v>116.6</v>
      </c>
      <c r="E10" s="5">
        <f t="shared" si="1"/>
        <v>4.0599999999999996</v>
      </c>
      <c r="F10" s="2">
        <v>182</v>
      </c>
      <c r="G10" s="2">
        <f t="shared" si="2"/>
        <v>153</v>
      </c>
      <c r="I10" s="2">
        <v>203</v>
      </c>
      <c r="J10" s="2">
        <v>50</v>
      </c>
      <c r="K10" s="6">
        <v>116.6</v>
      </c>
      <c r="L10" s="5">
        <v>4.0599999999999996</v>
      </c>
      <c r="M10" s="2">
        <v>182</v>
      </c>
      <c r="N10" s="2">
        <v>153</v>
      </c>
    </row>
    <row r="11" spans="1:14" x14ac:dyDescent="0.2">
      <c r="A11" s="2">
        <v>211</v>
      </c>
      <c r="B11" s="2">
        <v>180</v>
      </c>
      <c r="C11" s="2">
        <v>56</v>
      </c>
      <c r="D11" s="6">
        <f t="shared" si="0"/>
        <v>117.4</v>
      </c>
      <c r="E11" s="5">
        <f t="shared" si="1"/>
        <v>3.2142857142857144</v>
      </c>
      <c r="F11" s="2">
        <v>33</v>
      </c>
      <c r="G11" s="2">
        <f t="shared" si="2"/>
        <v>124</v>
      </c>
      <c r="I11" s="2">
        <v>180</v>
      </c>
      <c r="J11" s="2">
        <v>56</v>
      </c>
      <c r="K11" s="6">
        <v>117.4</v>
      </c>
      <c r="L11" s="5">
        <v>3.2142857142857144</v>
      </c>
      <c r="M11" s="2">
        <v>33</v>
      </c>
      <c r="N11" s="2">
        <v>124</v>
      </c>
    </row>
    <row r="12" spans="1:14" x14ac:dyDescent="0.2">
      <c r="A12" s="2">
        <v>213</v>
      </c>
      <c r="B12" s="2">
        <v>225</v>
      </c>
      <c r="C12" s="2">
        <v>72</v>
      </c>
      <c r="D12" s="6">
        <f t="shared" si="0"/>
        <v>142.80000000000001</v>
      </c>
      <c r="E12" s="5">
        <f t="shared" si="1"/>
        <v>3.125</v>
      </c>
      <c r="F12" s="2">
        <v>51</v>
      </c>
      <c r="G12" s="2">
        <f t="shared" si="2"/>
        <v>153</v>
      </c>
      <c r="I12" s="2">
        <v>225</v>
      </c>
      <c r="J12" s="2">
        <v>72</v>
      </c>
      <c r="K12" s="6">
        <v>142.80000000000001</v>
      </c>
      <c r="L12" s="5">
        <v>3.125</v>
      </c>
      <c r="M12" s="2">
        <v>51</v>
      </c>
      <c r="N12" s="2">
        <v>153</v>
      </c>
    </row>
    <row r="13" spans="1:14" x14ac:dyDescent="0.2">
      <c r="A13" s="2">
        <v>214</v>
      </c>
      <c r="B13" s="2">
        <v>185</v>
      </c>
      <c r="C13" s="2">
        <v>46</v>
      </c>
      <c r="D13" s="6">
        <f t="shared" si="0"/>
        <v>125.6</v>
      </c>
      <c r="E13" s="5">
        <f t="shared" si="1"/>
        <v>4.0217391304347823</v>
      </c>
      <c r="F13" s="2">
        <v>67</v>
      </c>
      <c r="G13" s="2">
        <f t="shared" si="2"/>
        <v>139</v>
      </c>
      <c r="I13" s="2">
        <v>185</v>
      </c>
      <c r="J13" s="2">
        <v>46</v>
      </c>
      <c r="K13" s="6">
        <v>125.6</v>
      </c>
      <c r="L13" s="5">
        <v>4.0217391304347823</v>
      </c>
      <c r="M13" s="2">
        <v>67</v>
      </c>
      <c r="N13" s="2">
        <v>139</v>
      </c>
    </row>
    <row r="14" spans="1:14" x14ac:dyDescent="0.2">
      <c r="A14" s="2">
        <v>215</v>
      </c>
      <c r="B14" s="2">
        <v>174</v>
      </c>
      <c r="C14" s="2">
        <v>52</v>
      </c>
      <c r="D14" s="6">
        <f t="shared" si="0"/>
        <v>105.2</v>
      </c>
      <c r="E14" s="5">
        <f t="shared" si="1"/>
        <v>3.3461538461538463</v>
      </c>
      <c r="F14" s="2">
        <v>84</v>
      </c>
      <c r="G14" s="2">
        <f t="shared" si="2"/>
        <v>122</v>
      </c>
      <c r="I14" s="2">
        <v>174</v>
      </c>
      <c r="J14" s="2">
        <v>52</v>
      </c>
      <c r="K14" s="6">
        <v>105.2</v>
      </c>
      <c r="L14" s="5">
        <v>3.3461538461538463</v>
      </c>
      <c r="M14" s="2">
        <v>84</v>
      </c>
      <c r="N14" s="2">
        <v>122</v>
      </c>
    </row>
    <row r="15" spans="1:14" x14ac:dyDescent="0.2">
      <c r="A15" s="2">
        <v>216</v>
      </c>
      <c r="B15" s="2">
        <v>150</v>
      </c>
      <c r="C15" s="2">
        <v>37</v>
      </c>
      <c r="D15" s="6">
        <f t="shared" si="0"/>
        <v>99.6</v>
      </c>
      <c r="E15" s="5">
        <f t="shared" si="1"/>
        <v>4.0540540540540544</v>
      </c>
      <c r="F15" s="2">
        <v>67</v>
      </c>
      <c r="G15" s="2">
        <f t="shared" si="2"/>
        <v>113</v>
      </c>
      <c r="I15" s="2">
        <v>150</v>
      </c>
      <c r="J15" s="2">
        <v>37</v>
      </c>
      <c r="K15" s="6">
        <v>99.6</v>
      </c>
      <c r="L15" s="5">
        <v>4.0540540540540544</v>
      </c>
      <c r="M15" s="2">
        <v>67</v>
      </c>
      <c r="N15" s="2">
        <v>113</v>
      </c>
    </row>
    <row r="16" spans="1:14" x14ac:dyDescent="0.2">
      <c r="A16" s="2">
        <v>218</v>
      </c>
      <c r="B16" s="2">
        <v>164</v>
      </c>
      <c r="C16" s="2">
        <v>34</v>
      </c>
      <c r="D16" s="6">
        <f t="shared" si="0"/>
        <v>104.6</v>
      </c>
      <c r="E16" s="5">
        <f t="shared" si="1"/>
        <v>4.8235294117647056</v>
      </c>
      <c r="F16" s="2">
        <v>127</v>
      </c>
      <c r="G16" s="2">
        <f t="shared" si="2"/>
        <v>130</v>
      </c>
      <c r="I16" s="2">
        <v>164</v>
      </c>
      <c r="J16" s="2">
        <v>34</v>
      </c>
      <c r="K16" s="6">
        <v>104.6</v>
      </c>
      <c r="L16" s="5">
        <v>4.8235294117647056</v>
      </c>
      <c r="M16" s="2">
        <v>127</v>
      </c>
      <c r="N16" s="2">
        <v>130</v>
      </c>
    </row>
    <row r="17" spans="1:14" x14ac:dyDescent="0.2">
      <c r="A17" s="2">
        <v>220</v>
      </c>
      <c r="B17" s="2">
        <v>208</v>
      </c>
      <c r="C17" s="2">
        <v>92</v>
      </c>
      <c r="D17" s="6">
        <f t="shared" si="0"/>
        <v>107.8</v>
      </c>
      <c r="E17" s="5">
        <f t="shared" si="1"/>
        <v>2.2608695652173911</v>
      </c>
      <c r="F17" s="2">
        <v>41</v>
      </c>
      <c r="G17" s="2">
        <f t="shared" si="2"/>
        <v>116</v>
      </c>
      <c r="I17" s="2">
        <v>208</v>
      </c>
      <c r="J17" s="2">
        <v>92</v>
      </c>
      <c r="K17" s="6">
        <v>107.8</v>
      </c>
      <c r="L17" s="5">
        <v>2.2608695652173911</v>
      </c>
      <c r="M17" s="2">
        <v>41</v>
      </c>
      <c r="N17" s="2">
        <v>116</v>
      </c>
    </row>
    <row r="18" spans="1:14" x14ac:dyDescent="0.2">
      <c r="A18" s="2">
        <v>221</v>
      </c>
      <c r="B18" s="2">
        <v>178</v>
      </c>
      <c r="C18" s="2">
        <v>44</v>
      </c>
      <c r="D18" s="6">
        <f t="shared" si="0"/>
        <v>123.8</v>
      </c>
      <c r="E18" s="5">
        <f t="shared" si="1"/>
        <v>4.0454545454545459</v>
      </c>
      <c r="F18" s="2">
        <v>51</v>
      </c>
      <c r="G18" s="2">
        <f t="shared" si="2"/>
        <v>134</v>
      </c>
      <c r="I18" s="2">
        <v>178</v>
      </c>
      <c r="J18" s="2">
        <v>44</v>
      </c>
      <c r="K18" s="6">
        <v>123.8</v>
      </c>
      <c r="L18" s="5">
        <v>4.0454545454545459</v>
      </c>
      <c r="M18" s="2">
        <v>51</v>
      </c>
      <c r="N18" s="2">
        <v>134</v>
      </c>
    </row>
    <row r="19" spans="1:14" x14ac:dyDescent="0.2">
      <c r="A19" s="2">
        <v>222</v>
      </c>
      <c r="B19" s="2">
        <v>193</v>
      </c>
      <c r="C19" s="2">
        <v>62</v>
      </c>
      <c r="D19" s="6">
        <f t="shared" si="0"/>
        <v>105.6</v>
      </c>
      <c r="E19" s="5">
        <f t="shared" si="1"/>
        <v>3.1129032258064515</v>
      </c>
      <c r="F19" s="2">
        <v>127</v>
      </c>
      <c r="G19" s="2">
        <f t="shared" si="2"/>
        <v>131</v>
      </c>
      <c r="I19" s="2">
        <v>193</v>
      </c>
      <c r="J19" s="2">
        <v>62</v>
      </c>
      <c r="K19" s="6">
        <v>105.6</v>
      </c>
      <c r="L19" s="5">
        <v>3.1129032258064515</v>
      </c>
      <c r="M19" s="2">
        <v>127</v>
      </c>
      <c r="N19" s="2">
        <v>131</v>
      </c>
    </row>
    <row r="20" spans="1:14" x14ac:dyDescent="0.2">
      <c r="A20" s="2">
        <v>223</v>
      </c>
      <c r="B20" s="2">
        <v>179</v>
      </c>
      <c r="C20" s="2">
        <v>56</v>
      </c>
      <c r="D20" s="6">
        <f t="shared" si="0"/>
        <v>110.4</v>
      </c>
      <c r="E20" s="5">
        <f t="shared" si="1"/>
        <v>3.1964285714285716</v>
      </c>
      <c r="F20" s="2">
        <v>63</v>
      </c>
      <c r="G20" s="2">
        <f t="shared" si="2"/>
        <v>123</v>
      </c>
      <c r="I20" s="2">
        <v>179</v>
      </c>
      <c r="J20" s="2">
        <v>56</v>
      </c>
      <c r="K20" s="6">
        <v>110.4</v>
      </c>
      <c r="L20" s="5">
        <v>3.1964285714285716</v>
      </c>
      <c r="M20" s="2">
        <v>63</v>
      </c>
      <c r="N20" s="2">
        <v>123</v>
      </c>
    </row>
    <row r="21" spans="1:14" x14ac:dyDescent="0.2">
      <c r="A21" s="2">
        <v>224</v>
      </c>
      <c r="B21" s="2">
        <v>193</v>
      </c>
      <c r="C21" s="2">
        <v>48</v>
      </c>
      <c r="D21" s="6">
        <f t="shared" si="0"/>
        <v>134.80000000000001</v>
      </c>
      <c r="E21" s="5">
        <f t="shared" si="1"/>
        <v>4.020833333333333</v>
      </c>
      <c r="F21" s="2">
        <v>51</v>
      </c>
      <c r="G21" s="2">
        <f t="shared" si="2"/>
        <v>145</v>
      </c>
      <c r="I21" s="2">
        <v>193</v>
      </c>
      <c r="J21" s="2">
        <v>48</v>
      </c>
      <c r="K21" s="6">
        <v>134.80000000000001</v>
      </c>
      <c r="L21" s="5">
        <v>4.020833333333333</v>
      </c>
      <c r="M21" s="2">
        <v>51</v>
      </c>
      <c r="N21" s="2">
        <v>145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2FE24B-E086-2F40-8C15-21DF132E9B1A}">
  <dimension ref="A1:N21"/>
  <sheetViews>
    <sheetView zoomScale="120" zoomScaleNormal="120" workbookViewId="0">
      <selection activeCell="H2" sqref="H2"/>
    </sheetView>
  </sheetViews>
  <sheetFormatPr baseColWidth="10" defaultRowHeight="16" x14ac:dyDescent="0.2"/>
  <cols>
    <col min="1" max="16384" width="10.83203125" style="2"/>
  </cols>
  <sheetData>
    <row r="1" spans="1:14" x14ac:dyDescent="0.2">
      <c r="B1" s="4" t="s">
        <v>9</v>
      </c>
      <c r="C1" s="4" t="s">
        <v>10</v>
      </c>
      <c r="D1" s="2" t="s">
        <v>11</v>
      </c>
      <c r="E1" s="2" t="s">
        <v>12</v>
      </c>
      <c r="F1" s="4" t="s">
        <v>13</v>
      </c>
      <c r="G1" s="2" t="s">
        <v>14</v>
      </c>
      <c r="I1" s="10" t="s">
        <v>9</v>
      </c>
      <c r="J1" s="10" t="s">
        <v>10</v>
      </c>
      <c r="K1" s="10" t="s">
        <v>11</v>
      </c>
      <c r="L1" s="10" t="s">
        <v>12</v>
      </c>
      <c r="M1" s="10" t="s">
        <v>13</v>
      </c>
      <c r="N1" s="10" t="s">
        <v>14</v>
      </c>
    </row>
    <row r="2" spans="1:14" x14ac:dyDescent="0.2">
      <c r="A2" s="2">
        <v>201</v>
      </c>
      <c r="B2" s="2">
        <v>142</v>
      </c>
      <c r="C2" s="2">
        <v>43</v>
      </c>
      <c r="D2" s="6">
        <f>B2-C2-(F2/5)</f>
        <v>90.2</v>
      </c>
      <c r="E2" s="5">
        <f>B2/C2</f>
        <v>3.3023255813953489</v>
      </c>
      <c r="F2" s="2">
        <v>44</v>
      </c>
      <c r="G2" s="2">
        <f>B2-C2</f>
        <v>99</v>
      </c>
      <c r="I2" s="2">
        <v>142</v>
      </c>
      <c r="J2" s="2">
        <v>43</v>
      </c>
      <c r="K2" s="6">
        <v>90.2</v>
      </c>
      <c r="L2" s="5">
        <v>3.3023255813953489</v>
      </c>
      <c r="M2" s="2">
        <v>44</v>
      </c>
      <c r="N2" s="2">
        <v>99</v>
      </c>
    </row>
    <row r="3" spans="1:14" x14ac:dyDescent="0.2">
      <c r="A3" s="2">
        <v>202</v>
      </c>
      <c r="B3" s="2">
        <v>179</v>
      </c>
      <c r="C3" s="2">
        <v>46</v>
      </c>
      <c r="D3" s="6">
        <f t="shared" ref="D3:D21" si="0">B3-C3-(F3/5)</f>
        <v>117.4</v>
      </c>
      <c r="E3" s="5">
        <f t="shared" ref="E3:E21" si="1">B3/C3</f>
        <v>3.8913043478260869</v>
      </c>
      <c r="F3" s="2">
        <v>78</v>
      </c>
      <c r="G3" s="2">
        <f t="shared" ref="G3:G21" si="2">B3-C3</f>
        <v>133</v>
      </c>
      <c r="I3" s="2">
        <v>179</v>
      </c>
      <c r="J3" s="2">
        <v>46</v>
      </c>
      <c r="K3" s="6">
        <v>117.4</v>
      </c>
      <c r="L3" s="5">
        <v>3.8913043478260869</v>
      </c>
      <c r="M3" s="2">
        <v>78</v>
      </c>
      <c r="N3" s="2">
        <v>133</v>
      </c>
    </row>
    <row r="4" spans="1:14" x14ac:dyDescent="0.2">
      <c r="A4" s="2">
        <v>203</v>
      </c>
      <c r="B4" s="2">
        <v>158</v>
      </c>
      <c r="C4" s="2">
        <v>71</v>
      </c>
      <c r="D4" s="6">
        <f t="shared" si="0"/>
        <v>80.2</v>
      </c>
      <c r="E4" s="5">
        <f t="shared" si="1"/>
        <v>2.2253521126760565</v>
      </c>
      <c r="F4" s="2">
        <v>34</v>
      </c>
      <c r="G4" s="2">
        <f t="shared" si="2"/>
        <v>87</v>
      </c>
      <c r="I4" s="2">
        <v>158</v>
      </c>
      <c r="J4" s="2">
        <v>71</v>
      </c>
      <c r="K4" s="6">
        <v>80.2</v>
      </c>
      <c r="L4" s="5">
        <v>2.2253521126760565</v>
      </c>
      <c r="M4" s="2">
        <v>34</v>
      </c>
      <c r="N4" s="2">
        <v>87</v>
      </c>
    </row>
    <row r="5" spans="1:14" x14ac:dyDescent="0.2">
      <c r="A5" s="2">
        <v>204</v>
      </c>
      <c r="B5" s="2">
        <v>126</v>
      </c>
      <c r="C5" s="2">
        <v>57</v>
      </c>
      <c r="D5" s="6">
        <f t="shared" si="0"/>
        <v>56.4</v>
      </c>
      <c r="E5" s="5">
        <f t="shared" si="1"/>
        <v>2.2105263157894739</v>
      </c>
      <c r="F5" s="2">
        <v>63</v>
      </c>
      <c r="G5" s="2">
        <f t="shared" si="2"/>
        <v>69</v>
      </c>
      <c r="I5" s="2">
        <v>126</v>
      </c>
      <c r="J5" s="2">
        <v>57</v>
      </c>
      <c r="K5" s="6">
        <v>56.4</v>
      </c>
      <c r="L5" s="5">
        <v>2.2105263157894739</v>
      </c>
      <c r="M5" s="2">
        <v>63</v>
      </c>
      <c r="N5" s="2">
        <v>69</v>
      </c>
    </row>
    <row r="6" spans="1:14" x14ac:dyDescent="0.2">
      <c r="A6" s="2">
        <v>205</v>
      </c>
      <c r="B6" s="2">
        <v>156</v>
      </c>
      <c r="C6" s="2">
        <v>35</v>
      </c>
      <c r="D6" s="6">
        <f t="shared" si="0"/>
        <v>96.6</v>
      </c>
      <c r="E6" s="5">
        <f t="shared" si="1"/>
        <v>4.4571428571428573</v>
      </c>
      <c r="F6" s="2">
        <v>122</v>
      </c>
      <c r="G6" s="2">
        <f t="shared" si="2"/>
        <v>121</v>
      </c>
      <c r="I6" s="2">
        <v>156</v>
      </c>
      <c r="J6" s="2">
        <v>35</v>
      </c>
      <c r="K6" s="6">
        <v>96.6</v>
      </c>
      <c r="L6" s="5">
        <v>4.4571428571428573</v>
      </c>
      <c r="M6" s="2">
        <v>122</v>
      </c>
      <c r="N6" s="2">
        <v>121</v>
      </c>
    </row>
    <row r="7" spans="1:14" x14ac:dyDescent="0.2">
      <c r="A7" s="2">
        <v>206</v>
      </c>
      <c r="B7" s="2">
        <v>196</v>
      </c>
      <c r="C7" s="2">
        <v>47</v>
      </c>
      <c r="D7" s="6">
        <f t="shared" si="0"/>
        <v>128.4</v>
      </c>
      <c r="E7" s="5">
        <f t="shared" si="1"/>
        <v>4.1702127659574471</v>
      </c>
      <c r="F7" s="2">
        <v>103</v>
      </c>
      <c r="G7" s="2">
        <f t="shared" si="2"/>
        <v>149</v>
      </c>
      <c r="I7" s="2">
        <v>196</v>
      </c>
      <c r="J7" s="2">
        <v>47</v>
      </c>
      <c r="K7" s="6">
        <v>128.4</v>
      </c>
      <c r="L7" s="5">
        <v>4.1702127659574471</v>
      </c>
      <c r="M7" s="2">
        <v>103</v>
      </c>
      <c r="N7" s="2">
        <v>149</v>
      </c>
    </row>
    <row r="8" spans="1:14" x14ac:dyDescent="0.2">
      <c r="A8" s="2">
        <v>208</v>
      </c>
      <c r="B8" s="2">
        <v>144</v>
      </c>
      <c r="C8" s="2">
        <v>57</v>
      </c>
      <c r="D8" s="6">
        <f t="shared" si="0"/>
        <v>77.599999999999994</v>
      </c>
      <c r="E8" s="5">
        <f t="shared" si="1"/>
        <v>2.5263157894736841</v>
      </c>
      <c r="F8" s="2">
        <v>47</v>
      </c>
      <c r="G8" s="2">
        <f t="shared" si="2"/>
        <v>87</v>
      </c>
      <c r="I8" s="2">
        <v>144</v>
      </c>
      <c r="J8" s="2">
        <v>57</v>
      </c>
      <c r="K8" s="6">
        <v>77.599999999999994</v>
      </c>
      <c r="L8" s="5">
        <v>2.5263157894736841</v>
      </c>
      <c r="M8" s="2">
        <v>47</v>
      </c>
      <c r="N8" s="2">
        <v>87</v>
      </c>
    </row>
    <row r="9" spans="1:14" x14ac:dyDescent="0.2">
      <c r="A9" s="2">
        <v>209</v>
      </c>
      <c r="B9" s="2">
        <v>181</v>
      </c>
      <c r="C9" s="2">
        <v>61</v>
      </c>
      <c r="D9" s="6">
        <f t="shared" si="0"/>
        <v>110.6</v>
      </c>
      <c r="E9" s="5">
        <f t="shared" si="1"/>
        <v>2.9672131147540983</v>
      </c>
      <c r="F9" s="2">
        <v>47</v>
      </c>
      <c r="G9" s="2">
        <f t="shared" si="2"/>
        <v>120</v>
      </c>
      <c r="I9" s="2">
        <v>181</v>
      </c>
      <c r="J9" s="2">
        <v>61</v>
      </c>
      <c r="K9" s="6">
        <v>110.6</v>
      </c>
      <c r="L9" s="5">
        <v>2.9672131147540983</v>
      </c>
      <c r="M9" s="2">
        <v>47</v>
      </c>
      <c r="N9" s="2">
        <v>120</v>
      </c>
    </row>
    <row r="10" spans="1:14" x14ac:dyDescent="0.2">
      <c r="A10" s="2">
        <v>210</v>
      </c>
      <c r="B10" s="2">
        <v>201</v>
      </c>
      <c r="C10" s="2">
        <v>50</v>
      </c>
      <c r="D10" s="6">
        <f t="shared" si="0"/>
        <v>123</v>
      </c>
      <c r="E10" s="5">
        <f t="shared" si="1"/>
        <v>4.0199999999999996</v>
      </c>
      <c r="F10" s="2">
        <v>140</v>
      </c>
      <c r="G10" s="2">
        <f t="shared" si="2"/>
        <v>151</v>
      </c>
      <c r="I10" s="2">
        <v>201</v>
      </c>
      <c r="J10" s="2">
        <v>50</v>
      </c>
      <c r="K10" s="6">
        <v>123</v>
      </c>
      <c r="L10" s="5">
        <v>4.0199999999999996</v>
      </c>
      <c r="M10" s="2">
        <v>140</v>
      </c>
      <c r="N10" s="2">
        <v>151</v>
      </c>
    </row>
    <row r="11" spans="1:14" x14ac:dyDescent="0.2">
      <c r="A11" s="2">
        <v>211</v>
      </c>
      <c r="B11" s="2">
        <v>168</v>
      </c>
      <c r="C11" s="2">
        <v>51</v>
      </c>
      <c r="D11" s="6">
        <f t="shared" si="0"/>
        <v>103.2</v>
      </c>
      <c r="E11" s="5">
        <f t="shared" si="1"/>
        <v>3.2941176470588234</v>
      </c>
      <c r="F11" s="2">
        <v>69</v>
      </c>
      <c r="G11" s="2">
        <f t="shared" si="2"/>
        <v>117</v>
      </c>
      <c r="I11" s="2">
        <v>168</v>
      </c>
      <c r="J11" s="2">
        <v>51</v>
      </c>
      <c r="K11" s="6">
        <v>103.2</v>
      </c>
      <c r="L11" s="5">
        <v>3.2941176470588234</v>
      </c>
      <c r="M11" s="2">
        <v>69</v>
      </c>
      <c r="N11" s="2">
        <v>117</v>
      </c>
    </row>
    <row r="12" spans="1:14" x14ac:dyDescent="0.2">
      <c r="A12" s="2">
        <v>213</v>
      </c>
      <c r="B12" s="2">
        <v>223</v>
      </c>
      <c r="C12" s="2">
        <v>77</v>
      </c>
      <c r="D12" s="6">
        <f t="shared" si="0"/>
        <v>138.19999999999999</v>
      </c>
      <c r="E12" s="5">
        <f t="shared" si="1"/>
        <v>2.8961038961038961</v>
      </c>
      <c r="F12" s="2">
        <v>39</v>
      </c>
      <c r="G12" s="2">
        <f t="shared" si="2"/>
        <v>146</v>
      </c>
      <c r="I12" s="2">
        <v>223</v>
      </c>
      <c r="J12" s="2">
        <v>77</v>
      </c>
      <c r="K12" s="6">
        <v>138.19999999999999</v>
      </c>
      <c r="L12" s="5">
        <v>2.8961038961038961</v>
      </c>
      <c r="M12" s="2">
        <v>39</v>
      </c>
      <c r="N12" s="2">
        <v>146</v>
      </c>
    </row>
    <row r="13" spans="1:14" x14ac:dyDescent="0.2">
      <c r="A13" s="2">
        <v>214</v>
      </c>
      <c r="B13" s="2">
        <v>185</v>
      </c>
      <c r="C13" s="2">
        <v>51</v>
      </c>
      <c r="D13" s="6">
        <f t="shared" si="0"/>
        <v>116.4</v>
      </c>
      <c r="E13" s="5">
        <f t="shared" si="1"/>
        <v>3.6274509803921569</v>
      </c>
      <c r="F13" s="2">
        <v>88</v>
      </c>
      <c r="G13" s="2">
        <f t="shared" si="2"/>
        <v>134</v>
      </c>
      <c r="I13" s="2">
        <v>185</v>
      </c>
      <c r="J13" s="2">
        <v>51</v>
      </c>
      <c r="K13" s="6">
        <v>116.4</v>
      </c>
      <c r="L13" s="5">
        <v>3.6274509803921569</v>
      </c>
      <c r="M13" s="2">
        <v>88</v>
      </c>
      <c r="N13" s="2">
        <v>134</v>
      </c>
    </row>
    <row r="14" spans="1:14" x14ac:dyDescent="0.2">
      <c r="A14" s="2">
        <v>215</v>
      </c>
      <c r="B14" s="2">
        <v>200</v>
      </c>
      <c r="C14" s="2">
        <v>54</v>
      </c>
      <c r="D14" s="6">
        <f t="shared" si="0"/>
        <v>136</v>
      </c>
      <c r="E14" s="5">
        <f t="shared" si="1"/>
        <v>3.7037037037037037</v>
      </c>
      <c r="F14" s="2">
        <v>50</v>
      </c>
      <c r="G14" s="2">
        <f t="shared" si="2"/>
        <v>146</v>
      </c>
      <c r="I14" s="2">
        <v>200</v>
      </c>
      <c r="J14" s="2">
        <v>54</v>
      </c>
      <c r="K14" s="6">
        <v>136</v>
      </c>
      <c r="L14" s="5">
        <v>3.7037037037037037</v>
      </c>
      <c r="M14" s="2">
        <v>50</v>
      </c>
      <c r="N14" s="2">
        <v>146</v>
      </c>
    </row>
    <row r="15" spans="1:14" x14ac:dyDescent="0.2">
      <c r="A15" s="2">
        <v>216</v>
      </c>
      <c r="B15" s="2">
        <v>155</v>
      </c>
      <c r="C15" s="2">
        <v>39</v>
      </c>
      <c r="D15" s="6">
        <f t="shared" si="0"/>
        <v>99.2</v>
      </c>
      <c r="E15" s="5">
        <f t="shared" si="1"/>
        <v>3.9743589743589745</v>
      </c>
      <c r="F15" s="2">
        <v>84</v>
      </c>
      <c r="G15" s="2">
        <f t="shared" si="2"/>
        <v>116</v>
      </c>
      <c r="I15" s="2">
        <v>155</v>
      </c>
      <c r="J15" s="2">
        <v>39</v>
      </c>
      <c r="K15" s="6">
        <v>99.2</v>
      </c>
      <c r="L15" s="5">
        <v>3.9743589743589745</v>
      </c>
      <c r="M15" s="2">
        <v>84</v>
      </c>
      <c r="N15" s="2">
        <v>116</v>
      </c>
    </row>
    <row r="16" spans="1:14" x14ac:dyDescent="0.2">
      <c r="A16" s="2">
        <v>218</v>
      </c>
      <c r="B16" s="2">
        <v>152</v>
      </c>
      <c r="C16" s="2">
        <v>32</v>
      </c>
      <c r="D16" s="6">
        <f t="shared" si="0"/>
        <v>93.4</v>
      </c>
      <c r="E16" s="5">
        <f t="shared" si="1"/>
        <v>4.75</v>
      </c>
      <c r="F16" s="2">
        <v>133</v>
      </c>
      <c r="G16" s="2">
        <f t="shared" si="2"/>
        <v>120</v>
      </c>
      <c r="I16" s="2">
        <v>152</v>
      </c>
      <c r="J16" s="2">
        <v>32</v>
      </c>
      <c r="K16" s="6">
        <v>93.4</v>
      </c>
      <c r="L16" s="5">
        <v>4.75</v>
      </c>
      <c r="M16" s="2">
        <v>133</v>
      </c>
      <c r="N16" s="2">
        <v>120</v>
      </c>
    </row>
    <row r="17" spans="1:14" x14ac:dyDescent="0.2">
      <c r="A17" s="2">
        <v>220</v>
      </c>
      <c r="B17" s="2">
        <v>184</v>
      </c>
      <c r="C17" s="2">
        <v>81</v>
      </c>
      <c r="D17" s="6">
        <f t="shared" si="0"/>
        <v>94.2</v>
      </c>
      <c r="E17" s="5">
        <f t="shared" si="1"/>
        <v>2.2716049382716048</v>
      </c>
      <c r="F17" s="2">
        <v>44</v>
      </c>
      <c r="G17" s="2">
        <f t="shared" si="2"/>
        <v>103</v>
      </c>
      <c r="I17" s="2">
        <v>184</v>
      </c>
      <c r="J17" s="2">
        <v>81</v>
      </c>
      <c r="K17" s="6">
        <v>94.2</v>
      </c>
      <c r="L17" s="5">
        <v>2.2716049382716048</v>
      </c>
      <c r="M17" s="2">
        <v>44</v>
      </c>
      <c r="N17" s="2">
        <v>103</v>
      </c>
    </row>
    <row r="18" spans="1:14" x14ac:dyDescent="0.2">
      <c r="A18" s="2">
        <v>221</v>
      </c>
      <c r="B18" s="2">
        <v>178</v>
      </c>
      <c r="C18" s="2">
        <v>43</v>
      </c>
      <c r="D18" s="6">
        <f t="shared" si="0"/>
        <v>129</v>
      </c>
      <c r="E18" s="5">
        <f t="shared" si="1"/>
        <v>4.1395348837209305</v>
      </c>
      <c r="F18" s="2">
        <v>30</v>
      </c>
      <c r="G18" s="2">
        <f t="shared" si="2"/>
        <v>135</v>
      </c>
      <c r="I18" s="2">
        <v>178</v>
      </c>
      <c r="J18" s="2">
        <v>43</v>
      </c>
      <c r="K18" s="6">
        <v>129</v>
      </c>
      <c r="L18" s="5">
        <v>4.1395348837209305</v>
      </c>
      <c r="M18" s="2">
        <v>30</v>
      </c>
      <c r="N18" s="2">
        <v>135</v>
      </c>
    </row>
    <row r="19" spans="1:14" x14ac:dyDescent="0.2">
      <c r="A19" s="2">
        <v>222</v>
      </c>
      <c r="B19" s="2">
        <v>194</v>
      </c>
      <c r="C19" s="2">
        <v>67</v>
      </c>
      <c r="D19" s="6">
        <f t="shared" si="0"/>
        <v>117</v>
      </c>
      <c r="E19" s="5">
        <f t="shared" si="1"/>
        <v>2.8955223880597014</v>
      </c>
      <c r="F19" s="2">
        <v>50</v>
      </c>
      <c r="G19" s="2">
        <f t="shared" si="2"/>
        <v>127</v>
      </c>
      <c r="I19" s="2">
        <v>194</v>
      </c>
      <c r="J19" s="2">
        <v>67</v>
      </c>
      <c r="K19" s="6">
        <v>117</v>
      </c>
      <c r="L19" s="5">
        <v>2.8955223880597014</v>
      </c>
      <c r="M19" s="2">
        <v>50</v>
      </c>
      <c r="N19" s="2">
        <v>127</v>
      </c>
    </row>
    <row r="20" spans="1:14" x14ac:dyDescent="0.2">
      <c r="A20" s="2">
        <v>223</v>
      </c>
      <c r="B20" s="2">
        <v>180</v>
      </c>
      <c r="C20" s="2">
        <v>61</v>
      </c>
      <c r="D20" s="6">
        <f t="shared" si="0"/>
        <v>109.2</v>
      </c>
      <c r="E20" s="5">
        <f t="shared" si="1"/>
        <v>2.9508196721311477</v>
      </c>
      <c r="F20" s="2">
        <v>49</v>
      </c>
      <c r="G20" s="2">
        <f t="shared" si="2"/>
        <v>119</v>
      </c>
      <c r="I20" s="2">
        <v>180</v>
      </c>
      <c r="J20" s="2">
        <v>61</v>
      </c>
      <c r="K20" s="6">
        <v>109.2</v>
      </c>
      <c r="L20" s="5">
        <v>2.9508196721311477</v>
      </c>
      <c r="M20" s="2">
        <v>49</v>
      </c>
      <c r="N20" s="2">
        <v>119</v>
      </c>
    </row>
    <row r="21" spans="1:14" x14ac:dyDescent="0.2">
      <c r="A21" s="2">
        <v>224</v>
      </c>
      <c r="B21" s="2">
        <v>178</v>
      </c>
      <c r="C21" s="2">
        <v>45</v>
      </c>
      <c r="D21" s="6">
        <f t="shared" si="0"/>
        <v>121.4</v>
      </c>
      <c r="E21" s="5">
        <f t="shared" si="1"/>
        <v>3.9555555555555557</v>
      </c>
      <c r="F21" s="2">
        <v>58</v>
      </c>
      <c r="G21" s="2">
        <f t="shared" si="2"/>
        <v>133</v>
      </c>
      <c r="I21" s="2">
        <v>178</v>
      </c>
      <c r="J21" s="2">
        <v>45</v>
      </c>
      <c r="K21" s="6">
        <v>121.4</v>
      </c>
      <c r="L21" s="5">
        <v>3.9555555555555557</v>
      </c>
      <c r="M21" s="2">
        <v>58</v>
      </c>
      <c r="N21" s="2">
        <v>133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A16D77-FC9C-8647-B269-67C9BB228588}">
  <dimension ref="A1:AK101"/>
  <sheetViews>
    <sheetView zoomScale="120" zoomScaleNormal="120"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baseColWidth="10" defaultRowHeight="16" x14ac:dyDescent="0.2"/>
  <cols>
    <col min="2" max="2" width="12.6640625" bestFit="1" customWidth="1"/>
    <col min="5" max="5" width="12.6640625" bestFit="1" customWidth="1"/>
  </cols>
  <sheetData>
    <row r="1" spans="1:37" x14ac:dyDescent="0.2">
      <c r="B1" t="s">
        <v>32</v>
      </c>
      <c r="C1" t="s">
        <v>33</v>
      </c>
      <c r="D1" t="s">
        <v>33</v>
      </c>
      <c r="E1" t="s">
        <v>33</v>
      </c>
      <c r="F1" s="13" t="s">
        <v>34</v>
      </c>
      <c r="G1" s="13"/>
      <c r="H1" t="s">
        <v>38</v>
      </c>
      <c r="I1" t="s">
        <v>38</v>
      </c>
      <c r="J1" t="s">
        <v>38</v>
      </c>
      <c r="K1" s="13" t="s">
        <v>39</v>
      </c>
      <c r="L1" s="13"/>
      <c r="M1" t="s">
        <v>40</v>
      </c>
      <c r="N1" t="s">
        <v>40</v>
      </c>
      <c r="O1" t="s">
        <v>40</v>
      </c>
      <c r="P1" s="13" t="s">
        <v>41</v>
      </c>
      <c r="Q1" s="13"/>
      <c r="R1" t="s">
        <v>42</v>
      </c>
      <c r="S1" t="s">
        <v>42</v>
      </c>
      <c r="T1" t="s">
        <v>42</v>
      </c>
      <c r="U1" s="13" t="s">
        <v>43</v>
      </c>
      <c r="V1" s="13"/>
      <c r="W1" t="s">
        <v>44</v>
      </c>
      <c r="X1" t="s">
        <v>44</v>
      </c>
      <c r="Y1" t="s">
        <v>44</v>
      </c>
      <c r="Z1" s="13" t="s">
        <v>45</v>
      </c>
      <c r="AA1" s="13"/>
      <c r="AB1" t="s">
        <v>46</v>
      </c>
      <c r="AC1" t="s">
        <v>46</v>
      </c>
      <c r="AD1" t="s">
        <v>46</v>
      </c>
      <c r="AE1" s="13" t="s">
        <v>47</v>
      </c>
      <c r="AF1" s="13"/>
      <c r="AG1" t="s">
        <v>48</v>
      </c>
      <c r="AH1" t="s">
        <v>48</v>
      </c>
      <c r="AI1" t="s">
        <v>48</v>
      </c>
      <c r="AJ1" s="13" t="s">
        <v>49</v>
      </c>
      <c r="AK1" s="13"/>
    </row>
    <row r="2" spans="1:37" x14ac:dyDescent="0.2">
      <c r="A2">
        <v>201</v>
      </c>
      <c r="B2" t="s">
        <v>35</v>
      </c>
      <c r="C2">
        <v>62.6</v>
      </c>
      <c r="D2">
        <v>62.6</v>
      </c>
      <c r="E2">
        <v>62.6</v>
      </c>
      <c r="F2">
        <f>AVERAGE(C2:E2)</f>
        <v>62.6</v>
      </c>
      <c r="H2">
        <v>61.6</v>
      </c>
      <c r="I2">
        <v>61.6</v>
      </c>
      <c r="J2">
        <v>61.6</v>
      </c>
      <c r="K2">
        <f>AVERAGE(H2:J2)</f>
        <v>61.6</v>
      </c>
      <c r="M2">
        <v>59.8</v>
      </c>
      <c r="N2">
        <v>59.8</v>
      </c>
      <c r="O2">
        <v>59.8</v>
      </c>
      <c r="P2">
        <f>AVERAGE(M2:O2)</f>
        <v>59.79999999999999</v>
      </c>
      <c r="R2">
        <v>60.1</v>
      </c>
      <c r="S2">
        <v>60.1</v>
      </c>
      <c r="T2">
        <v>60.1</v>
      </c>
      <c r="U2">
        <f>AVERAGE(R2:T2)</f>
        <v>60.1</v>
      </c>
      <c r="W2">
        <v>59.8</v>
      </c>
      <c r="X2">
        <v>59.8</v>
      </c>
      <c r="Y2">
        <v>59.8</v>
      </c>
      <c r="Z2">
        <f>AVERAGE(W2:Y2)</f>
        <v>59.79999999999999</v>
      </c>
      <c r="AB2">
        <v>60.8</v>
      </c>
      <c r="AC2">
        <v>60.8</v>
      </c>
      <c r="AD2">
        <v>60.8</v>
      </c>
      <c r="AE2">
        <f>AVERAGE(AB2:AD2)</f>
        <v>60.79999999999999</v>
      </c>
      <c r="AG2">
        <v>61.1</v>
      </c>
      <c r="AH2">
        <v>61.1</v>
      </c>
      <c r="AI2">
        <v>61.1</v>
      </c>
      <c r="AJ2">
        <f>AVERAGE(AG2:AI2)</f>
        <v>61.1</v>
      </c>
    </row>
    <row r="3" spans="1:37" x14ac:dyDescent="0.2">
      <c r="B3" t="s">
        <v>36</v>
      </c>
      <c r="C3" s="12">
        <v>165.4</v>
      </c>
      <c r="D3" s="12">
        <v>165</v>
      </c>
      <c r="E3" s="12">
        <v>165</v>
      </c>
      <c r="F3" s="12">
        <f>AVERAGE(C3:E3)</f>
        <v>165.13333333333333</v>
      </c>
      <c r="G3" s="12"/>
      <c r="H3" s="12">
        <v>163.69999999999999</v>
      </c>
      <c r="I3" s="12"/>
      <c r="J3" s="12"/>
      <c r="K3" s="12">
        <f>AVERAGE(H3:J3)</f>
        <v>163.69999999999999</v>
      </c>
      <c r="L3" s="12"/>
      <c r="M3" s="12">
        <v>165.5</v>
      </c>
      <c r="N3" s="12">
        <v>165.7</v>
      </c>
      <c r="O3" s="12"/>
      <c r="P3" s="12">
        <f>AVERAGE(M3:O3)</f>
        <v>165.6</v>
      </c>
      <c r="Q3" s="12"/>
      <c r="R3" s="12">
        <v>164.1</v>
      </c>
      <c r="S3" s="12">
        <v>164.1</v>
      </c>
      <c r="T3" s="12">
        <v>164.1</v>
      </c>
      <c r="U3" s="12">
        <f>AVERAGE(R3:T3)</f>
        <v>164.1</v>
      </c>
      <c r="V3" s="12"/>
      <c r="W3" s="12">
        <v>164.3</v>
      </c>
      <c r="X3" s="12"/>
      <c r="Y3" s="12"/>
      <c r="Z3" s="12">
        <f>AVERAGE(W3:Y3)</f>
        <v>164.3</v>
      </c>
      <c r="AA3" s="12"/>
      <c r="AB3" s="12">
        <v>164.1</v>
      </c>
      <c r="AC3" s="12"/>
      <c r="AD3" s="12"/>
      <c r="AE3" s="12">
        <f>AVERAGE(AB3:AD3)</f>
        <v>164.1</v>
      </c>
      <c r="AF3" s="12"/>
      <c r="AG3" s="12">
        <v>164</v>
      </c>
      <c r="AH3" s="12"/>
      <c r="AI3" s="12"/>
      <c r="AJ3" s="12">
        <f>AVERAGE(AG3:AI3)</f>
        <v>164</v>
      </c>
      <c r="AK3" s="12"/>
    </row>
    <row r="4" spans="1:37" x14ac:dyDescent="0.2">
      <c r="B4" t="s">
        <v>37</v>
      </c>
      <c r="F4" s="12">
        <f>(F2/((F3/100)*(F3/100)))</f>
        <v>22.95645575141117</v>
      </c>
      <c r="G4" s="12"/>
      <c r="K4" s="12">
        <f>(K2/((K3/100)*(K3/100)))</f>
        <v>22.987055973854467</v>
      </c>
      <c r="L4" s="12"/>
      <c r="P4" s="12">
        <f>(P2/((P3/100)*(P3/100)))</f>
        <v>21.806226516371442</v>
      </c>
      <c r="Q4" s="12"/>
      <c r="T4" s="12"/>
      <c r="U4" s="12">
        <f>(U2/((U3/100)*(U3/100)))</f>
        <v>22.31810466188443</v>
      </c>
      <c r="V4" s="12"/>
      <c r="Z4" s="12">
        <f>(Z2/((Z3/100)*(Z3/100)))</f>
        <v>22.152668933549027</v>
      </c>
      <c r="AA4" s="12"/>
      <c r="AE4" s="12">
        <f>(AE2/((AE3/100)*(AE3/100)))</f>
        <v>22.578049308528669</v>
      </c>
      <c r="AF4" s="12"/>
      <c r="AJ4" s="12">
        <f>(AJ2/((AJ3/100)*(AJ3/100)))</f>
        <v>22.717132659131472</v>
      </c>
      <c r="AK4" s="12"/>
    </row>
    <row r="5" spans="1:37" x14ac:dyDescent="0.2">
      <c r="B5" t="s">
        <v>51</v>
      </c>
      <c r="C5">
        <v>116</v>
      </c>
      <c r="D5">
        <v>114</v>
      </c>
      <c r="E5">
        <v>115</v>
      </c>
      <c r="F5">
        <f>AVERAGE(C5:E5)</f>
        <v>115</v>
      </c>
      <c r="H5">
        <v>108</v>
      </c>
      <c r="I5">
        <v>105</v>
      </c>
      <c r="J5">
        <v>97</v>
      </c>
      <c r="K5" s="11">
        <f>AVERAGE(H5:J5)</f>
        <v>103.33333333333333</v>
      </c>
      <c r="L5" s="11"/>
      <c r="M5">
        <v>107</v>
      </c>
      <c r="N5">
        <v>109</v>
      </c>
      <c r="O5">
        <v>110</v>
      </c>
      <c r="P5" s="11">
        <f>AVERAGE(M5:O5)</f>
        <v>108.66666666666667</v>
      </c>
      <c r="Q5" s="11"/>
      <c r="R5">
        <v>96</v>
      </c>
      <c r="S5">
        <v>98</v>
      </c>
      <c r="T5">
        <v>102</v>
      </c>
      <c r="U5" s="11">
        <f>AVERAGE(R5:T5)</f>
        <v>98.666666666666671</v>
      </c>
      <c r="V5" s="11"/>
      <c r="W5">
        <v>104</v>
      </c>
      <c r="X5">
        <v>104</v>
      </c>
      <c r="Y5">
        <v>105</v>
      </c>
      <c r="Z5" s="11">
        <f>AVERAGE(W5:Y5)</f>
        <v>104.33333333333333</v>
      </c>
      <c r="AA5" s="11"/>
      <c r="AB5">
        <v>110</v>
      </c>
      <c r="AC5">
        <v>109</v>
      </c>
      <c r="AD5">
        <v>107</v>
      </c>
      <c r="AE5" s="11">
        <f>AVERAGE(AB5:AD5)</f>
        <v>108.66666666666667</v>
      </c>
      <c r="AF5" s="11"/>
      <c r="AG5">
        <v>105</v>
      </c>
      <c r="AH5">
        <v>106</v>
      </c>
      <c r="AI5">
        <v>107</v>
      </c>
      <c r="AJ5">
        <f>AVERAGE(AG5:AI5)</f>
        <v>106</v>
      </c>
    </row>
    <row r="6" spans="1:37" x14ac:dyDescent="0.2">
      <c r="B6" t="s">
        <v>50</v>
      </c>
      <c r="C6">
        <v>76</v>
      </c>
      <c r="D6">
        <v>75</v>
      </c>
      <c r="E6">
        <v>75</v>
      </c>
      <c r="F6" s="11">
        <f>AVERAGE(C6:E6)</f>
        <v>75.333333333333329</v>
      </c>
      <c r="G6" s="11"/>
      <c r="H6">
        <v>73</v>
      </c>
      <c r="I6">
        <v>69</v>
      </c>
      <c r="J6">
        <v>66</v>
      </c>
      <c r="K6" s="11">
        <f>AVERAGE(H6:J6)</f>
        <v>69.333333333333329</v>
      </c>
      <c r="L6" s="11"/>
      <c r="M6">
        <v>72</v>
      </c>
      <c r="N6">
        <v>73</v>
      </c>
      <c r="O6">
        <v>72</v>
      </c>
      <c r="P6" s="11">
        <f>AVERAGE(M6:O6)</f>
        <v>72.333333333333329</v>
      </c>
      <c r="Q6" s="11"/>
      <c r="R6">
        <v>63</v>
      </c>
      <c r="S6">
        <v>64</v>
      </c>
      <c r="T6">
        <v>66</v>
      </c>
      <c r="U6" s="11">
        <f>AVERAGE(R6:T6)</f>
        <v>64.333333333333329</v>
      </c>
      <c r="V6" s="11"/>
      <c r="W6">
        <v>73</v>
      </c>
      <c r="X6">
        <v>71</v>
      </c>
      <c r="Y6">
        <v>73</v>
      </c>
      <c r="Z6" s="11">
        <f>AVERAGE(W6:Y6)</f>
        <v>72.333333333333329</v>
      </c>
      <c r="AA6" s="11"/>
      <c r="AB6">
        <v>76</v>
      </c>
      <c r="AC6">
        <v>75</v>
      </c>
      <c r="AD6">
        <v>74</v>
      </c>
      <c r="AE6" s="11">
        <f>AVERAGE(AB6:AD6)</f>
        <v>75</v>
      </c>
      <c r="AF6" s="11"/>
      <c r="AG6">
        <v>71</v>
      </c>
      <c r="AH6">
        <v>71</v>
      </c>
      <c r="AI6">
        <v>73</v>
      </c>
      <c r="AJ6" s="11">
        <f>AVERAGE(AG6:AI6)</f>
        <v>71.666666666666671</v>
      </c>
      <c r="AK6" s="11"/>
    </row>
    <row r="7" spans="1:37" x14ac:dyDescent="0.2">
      <c r="A7">
        <v>202</v>
      </c>
      <c r="B7" t="s">
        <v>35</v>
      </c>
      <c r="C7">
        <v>85.8</v>
      </c>
      <c r="D7" s="12">
        <v>85.9</v>
      </c>
      <c r="E7" s="12">
        <v>85.9</v>
      </c>
      <c r="F7" s="12">
        <f>AVERAGE(C7:E7)</f>
        <v>85.866666666666674</v>
      </c>
      <c r="G7" s="12"/>
      <c r="H7" s="12">
        <v>87</v>
      </c>
      <c r="I7" s="12">
        <v>87</v>
      </c>
      <c r="J7" s="12">
        <v>87</v>
      </c>
      <c r="K7">
        <f>AVERAGE(H7:J7)</f>
        <v>87</v>
      </c>
      <c r="M7" s="12">
        <v>87.6</v>
      </c>
      <c r="N7" s="12">
        <v>87.6</v>
      </c>
      <c r="O7" s="12">
        <v>87.6</v>
      </c>
      <c r="P7">
        <f>AVERAGE(M7:O7)</f>
        <v>87.59999999999998</v>
      </c>
      <c r="R7" s="12">
        <v>88.2</v>
      </c>
      <c r="S7" s="12">
        <v>88.2</v>
      </c>
      <c r="T7" s="12">
        <v>88.2</v>
      </c>
      <c r="U7">
        <f>AVERAGE(R7:T7)</f>
        <v>88.2</v>
      </c>
      <c r="W7" s="12">
        <v>87.9</v>
      </c>
      <c r="X7" s="12">
        <v>87.9</v>
      </c>
      <c r="Y7" s="12">
        <v>87.9</v>
      </c>
      <c r="Z7">
        <f>AVERAGE(W7:Y7)</f>
        <v>87.90000000000002</v>
      </c>
      <c r="AB7" s="12">
        <v>87.35</v>
      </c>
      <c r="AC7" s="12">
        <v>87.15</v>
      </c>
      <c r="AD7" s="12">
        <v>87.2</v>
      </c>
      <c r="AE7" s="12">
        <f>AVERAGE(AB7:AD7)</f>
        <v>87.233333333333334</v>
      </c>
      <c r="AF7" s="12"/>
      <c r="AG7" s="12">
        <v>86.6</v>
      </c>
      <c r="AH7" s="12">
        <v>86.6</v>
      </c>
      <c r="AI7" s="12">
        <v>86.6</v>
      </c>
      <c r="AJ7">
        <f>AVERAGE(AG7:AI7)</f>
        <v>86.59999999999998</v>
      </c>
    </row>
    <row r="8" spans="1:37" x14ac:dyDescent="0.2">
      <c r="B8" t="s">
        <v>36</v>
      </c>
      <c r="C8">
        <v>177</v>
      </c>
      <c r="D8">
        <v>177.2</v>
      </c>
      <c r="F8" s="12">
        <f>AVERAGE(C8:E8)</f>
        <v>177.1</v>
      </c>
      <c r="G8" s="12"/>
      <c r="H8">
        <v>177.5</v>
      </c>
      <c r="K8" s="12">
        <f>AVERAGE(H8:J8)</f>
        <v>177.5</v>
      </c>
      <c r="L8" s="12"/>
      <c r="M8">
        <v>176.5</v>
      </c>
      <c r="N8">
        <v>176.5</v>
      </c>
      <c r="O8">
        <v>176.5</v>
      </c>
      <c r="P8" s="12">
        <f>AVERAGE(M8:O8)</f>
        <v>176.5</v>
      </c>
      <c r="Q8" s="12"/>
      <c r="R8">
        <v>176.7</v>
      </c>
      <c r="U8" s="12">
        <f>AVERAGE(R8:T8)</f>
        <v>176.7</v>
      </c>
      <c r="V8" s="12"/>
      <c r="W8">
        <v>177.2</v>
      </c>
      <c r="Z8" s="12">
        <f>AVERAGE(W8:Y8)</f>
        <v>177.2</v>
      </c>
      <c r="AA8" s="12"/>
      <c r="AB8">
        <v>177.1</v>
      </c>
      <c r="AE8" s="12">
        <f>AVERAGE(AB8:AD8)</f>
        <v>177.1</v>
      </c>
      <c r="AF8" s="12"/>
      <c r="AG8">
        <v>177.5</v>
      </c>
      <c r="AH8">
        <v>177.5</v>
      </c>
      <c r="AI8">
        <v>177.5</v>
      </c>
      <c r="AJ8" s="12">
        <f>AVERAGE(AG8:AI8)</f>
        <v>177.5</v>
      </c>
      <c r="AK8" s="12"/>
    </row>
    <row r="9" spans="1:37" x14ac:dyDescent="0.2">
      <c r="B9" t="s">
        <v>37</v>
      </c>
      <c r="F9" s="12">
        <f>(F7/((F8/100)*(F8/100)))</f>
        <v>27.377102475916711</v>
      </c>
      <c r="G9" s="12"/>
      <c r="K9" s="12">
        <f>(K7/((K8/100)*(K8/100)))</f>
        <v>27.613568736361835</v>
      </c>
      <c r="L9" s="12"/>
      <c r="P9" s="12">
        <f>(P7/((P8/100)*(P8/100)))</f>
        <v>28.119959232479193</v>
      </c>
      <c r="Q9" s="12"/>
      <c r="U9" s="12">
        <f>(U7/((U8/100)*(U8/100)))</f>
        <v>28.24850614405009</v>
      </c>
      <c r="V9" s="12"/>
      <c r="Z9" s="12">
        <f>(Z7/((Z8/100)*(Z8/100)))</f>
        <v>27.993773216678825</v>
      </c>
      <c r="AA9" s="12"/>
      <c r="AE9" s="12">
        <f>(AE7/((AE8/100)*(AE8/100)))</f>
        <v>27.812840519982153</v>
      </c>
      <c r="AF9" s="12"/>
      <c r="AJ9" s="12">
        <f>(AJ7/((AJ8/100)*(AJ8/100)))</f>
        <v>27.486609799642924</v>
      </c>
      <c r="AK9" s="12"/>
    </row>
    <row r="10" spans="1:37" x14ac:dyDescent="0.2">
      <c r="B10" t="s">
        <v>51</v>
      </c>
      <c r="C10">
        <v>100</v>
      </c>
      <c r="D10">
        <v>99</v>
      </c>
      <c r="E10">
        <v>91</v>
      </c>
      <c r="F10" s="11">
        <f>AVERAGE(C10:E10)</f>
        <v>96.666666666666671</v>
      </c>
      <c r="G10" s="11"/>
      <c r="H10">
        <v>111</v>
      </c>
      <c r="I10">
        <v>112</v>
      </c>
      <c r="J10">
        <v>105</v>
      </c>
      <c r="K10" s="11">
        <f>AVERAGE(H10:J10)</f>
        <v>109.33333333333333</v>
      </c>
      <c r="L10" s="11"/>
      <c r="M10">
        <v>98</v>
      </c>
      <c r="N10">
        <v>97</v>
      </c>
      <c r="O10">
        <v>95</v>
      </c>
      <c r="P10" s="11">
        <f>AVERAGE(M10:O10)</f>
        <v>96.666666666666671</v>
      </c>
      <c r="Q10" s="11"/>
      <c r="R10">
        <v>108</v>
      </c>
      <c r="S10">
        <v>101</v>
      </c>
      <c r="T10">
        <v>105</v>
      </c>
      <c r="U10" s="11">
        <f>AVERAGE(R10:T10)</f>
        <v>104.66666666666667</v>
      </c>
      <c r="V10" s="11"/>
      <c r="W10">
        <v>98</v>
      </c>
      <c r="X10">
        <v>103</v>
      </c>
      <c r="Y10">
        <v>107</v>
      </c>
      <c r="Z10" s="11">
        <f>AVERAGE(W10:Y10)</f>
        <v>102.66666666666667</v>
      </c>
      <c r="AA10" s="11"/>
      <c r="AB10">
        <v>115</v>
      </c>
      <c r="AC10">
        <v>113</v>
      </c>
      <c r="AD10">
        <v>106</v>
      </c>
      <c r="AE10" s="11">
        <f>AVERAGE(AB10:AD10)</f>
        <v>111.33333333333333</v>
      </c>
      <c r="AF10" s="11"/>
      <c r="AG10">
        <v>94</v>
      </c>
      <c r="AH10">
        <v>101</v>
      </c>
      <c r="AI10">
        <v>98</v>
      </c>
      <c r="AJ10" s="11">
        <f>AVERAGE(AG10:AI10)</f>
        <v>97.666666666666671</v>
      </c>
      <c r="AK10" s="11"/>
    </row>
    <row r="11" spans="1:37" x14ac:dyDescent="0.2">
      <c r="B11" t="s">
        <v>50</v>
      </c>
      <c r="C11">
        <v>64</v>
      </c>
      <c r="D11">
        <v>61</v>
      </c>
      <c r="E11">
        <v>56</v>
      </c>
      <c r="F11" s="11">
        <f>AVERAGE(C11:E11)</f>
        <v>60.333333333333336</v>
      </c>
      <c r="G11" s="11"/>
      <c r="H11">
        <v>66</v>
      </c>
      <c r="I11">
        <v>67</v>
      </c>
      <c r="J11">
        <v>63</v>
      </c>
      <c r="K11" s="11">
        <f>AVERAGE(H11:J11)</f>
        <v>65.333333333333329</v>
      </c>
      <c r="L11" s="11"/>
      <c r="M11">
        <v>60</v>
      </c>
      <c r="N11">
        <v>60</v>
      </c>
      <c r="O11">
        <v>59</v>
      </c>
      <c r="P11" s="11">
        <f>AVERAGE(M11:O11)</f>
        <v>59.666666666666664</v>
      </c>
      <c r="Q11" s="11"/>
      <c r="R11">
        <v>65</v>
      </c>
      <c r="S11">
        <v>64</v>
      </c>
      <c r="T11">
        <v>65</v>
      </c>
      <c r="U11" s="11">
        <f>AVERAGE(R11:T11)</f>
        <v>64.666666666666671</v>
      </c>
      <c r="V11" s="11"/>
      <c r="W11">
        <v>65</v>
      </c>
      <c r="X11">
        <v>67</v>
      </c>
      <c r="Y11">
        <v>64</v>
      </c>
      <c r="Z11" s="11">
        <f>AVERAGE(W11:Y11)</f>
        <v>65.333333333333329</v>
      </c>
      <c r="AA11" s="11"/>
      <c r="AB11">
        <v>74</v>
      </c>
      <c r="AC11">
        <v>72</v>
      </c>
      <c r="AD11">
        <v>68</v>
      </c>
      <c r="AE11" s="11">
        <f>AVERAGE(AB11:AD11)</f>
        <v>71.333333333333329</v>
      </c>
      <c r="AF11" s="11"/>
      <c r="AG11">
        <v>62</v>
      </c>
      <c r="AH11">
        <v>62</v>
      </c>
      <c r="AI11">
        <v>61</v>
      </c>
      <c r="AJ11" s="11">
        <f>AVERAGE(AG11:AI11)</f>
        <v>61.666666666666664</v>
      </c>
      <c r="AK11" s="11"/>
    </row>
    <row r="12" spans="1:37" x14ac:dyDescent="0.2">
      <c r="A12">
        <v>203</v>
      </c>
      <c r="B12" t="s">
        <v>35</v>
      </c>
      <c r="C12">
        <v>56</v>
      </c>
      <c r="D12">
        <v>56</v>
      </c>
      <c r="E12">
        <v>56</v>
      </c>
      <c r="F12" s="12">
        <f>AVERAGE(C12:E12)</f>
        <v>56</v>
      </c>
      <c r="G12" s="12"/>
      <c r="H12">
        <v>55</v>
      </c>
      <c r="I12">
        <v>55</v>
      </c>
      <c r="J12">
        <v>55.1</v>
      </c>
      <c r="K12" s="12">
        <f>AVERAGE(H12:J12)</f>
        <v>55.033333333333331</v>
      </c>
      <c r="L12" s="12"/>
      <c r="M12">
        <v>55.5</v>
      </c>
      <c r="N12">
        <v>55.3</v>
      </c>
      <c r="O12">
        <v>55.3</v>
      </c>
      <c r="P12" s="12">
        <f>AVERAGE(M12:O12)</f>
        <v>55.366666666666667</v>
      </c>
      <c r="Q12" s="12"/>
      <c r="R12">
        <v>55.7</v>
      </c>
      <c r="S12">
        <v>55.8</v>
      </c>
      <c r="T12">
        <v>55.8</v>
      </c>
      <c r="U12" s="12">
        <f>AVERAGE(R12:T12)</f>
        <v>55.766666666666673</v>
      </c>
      <c r="V12" s="12"/>
      <c r="W12">
        <v>55.6</v>
      </c>
      <c r="X12">
        <v>55.6</v>
      </c>
      <c r="Y12">
        <v>55.6</v>
      </c>
      <c r="Z12">
        <f>AVERAGE(W12:Y12)</f>
        <v>55.6</v>
      </c>
      <c r="AB12">
        <v>54.4</v>
      </c>
      <c r="AC12">
        <v>54.5</v>
      </c>
      <c r="AD12">
        <v>54.5</v>
      </c>
      <c r="AE12" s="12">
        <f>AVERAGE(AB12:AD12)</f>
        <v>54.466666666666669</v>
      </c>
      <c r="AF12" s="12"/>
      <c r="AG12">
        <v>53.6</v>
      </c>
      <c r="AH12">
        <v>53.6</v>
      </c>
      <c r="AI12">
        <v>53.6</v>
      </c>
      <c r="AJ12">
        <f>AVERAGE(AG12:AI12)</f>
        <v>53.6</v>
      </c>
    </row>
    <row r="13" spans="1:37" x14ac:dyDescent="0.2">
      <c r="B13" t="s">
        <v>36</v>
      </c>
      <c r="C13">
        <v>160.30000000000001</v>
      </c>
      <c r="D13">
        <v>160</v>
      </c>
      <c r="E13">
        <v>159.69999999999999</v>
      </c>
      <c r="F13" s="12">
        <f>AVERAGE(C13:E13)</f>
        <v>160</v>
      </c>
      <c r="G13" s="12"/>
      <c r="H13">
        <v>159.4</v>
      </c>
      <c r="I13">
        <v>159.4</v>
      </c>
      <c r="J13">
        <v>159.30000000000001</v>
      </c>
      <c r="K13" s="12">
        <f>AVERAGE(H13:J13)</f>
        <v>159.36666666666667</v>
      </c>
      <c r="L13" s="12"/>
      <c r="M13">
        <v>157.9</v>
      </c>
      <c r="P13" s="12">
        <f>AVERAGE(M13:O13)</f>
        <v>157.9</v>
      </c>
      <c r="Q13" s="12"/>
      <c r="R13">
        <v>158.69999999999999</v>
      </c>
      <c r="U13" s="12">
        <f>AVERAGE(R13:T13)</f>
        <v>158.69999999999999</v>
      </c>
      <c r="V13" s="12"/>
      <c r="W13">
        <v>158.9</v>
      </c>
      <c r="Z13" s="12">
        <f>AVERAGE(W13:Y13)</f>
        <v>158.9</v>
      </c>
      <c r="AA13" s="12"/>
      <c r="AB13">
        <v>159.1</v>
      </c>
      <c r="AE13" s="12">
        <f>AVERAGE(AB13:AD13)</f>
        <v>159.1</v>
      </c>
      <c r="AF13" s="12"/>
      <c r="AG13">
        <v>159.1</v>
      </c>
      <c r="AJ13" s="12">
        <f>AVERAGE(AG13:AI13)</f>
        <v>159.1</v>
      </c>
      <c r="AK13" s="12"/>
    </row>
    <row r="14" spans="1:37" x14ac:dyDescent="0.2">
      <c r="B14" t="s">
        <v>37</v>
      </c>
      <c r="F14" s="12">
        <f>(F12/((F13/100)*(F13/100)))</f>
        <v>21.874999999999996</v>
      </c>
      <c r="G14" s="12"/>
      <c r="K14" s="12">
        <f>(K12/((K13/100)*(K13/100)))</f>
        <v>21.66859939957024</v>
      </c>
      <c r="L14" s="12"/>
      <c r="P14" s="12">
        <f>(P12/((P13/100)*(P13/100)))</f>
        <v>22.206704713530169</v>
      </c>
      <c r="Q14" s="12"/>
      <c r="U14" s="12">
        <f>(U12/((U13/100)*(U13/100)))</f>
        <v>22.142203237896869</v>
      </c>
      <c r="V14" s="12"/>
      <c r="Z14" s="12">
        <f>(Z12/((Z13/100)*(Z13/100)))</f>
        <v>22.020490938132323</v>
      </c>
      <c r="AA14" s="12"/>
      <c r="AE14" s="12">
        <f>(AE12/((AE13/100)*(AE13/100)))</f>
        <v>21.517431951121456</v>
      </c>
      <c r="AF14" s="12"/>
      <c r="AJ14" s="12">
        <f>(AJ12/((AJ13/100)*(AJ13/100)))</f>
        <v>21.175049312976316</v>
      </c>
      <c r="AK14" s="12"/>
    </row>
    <row r="15" spans="1:37" x14ac:dyDescent="0.2">
      <c r="B15" t="s">
        <v>51</v>
      </c>
      <c r="C15">
        <v>120</v>
      </c>
      <c r="D15">
        <v>110</v>
      </c>
      <c r="E15">
        <v>111</v>
      </c>
      <c r="F15" s="11">
        <f>AVERAGE(C15:E15)</f>
        <v>113.66666666666667</v>
      </c>
      <c r="G15" s="11"/>
      <c r="H15">
        <v>105</v>
      </c>
      <c r="I15">
        <v>108</v>
      </c>
      <c r="J15">
        <v>109</v>
      </c>
      <c r="K15" s="11">
        <f>AVERAGE(H15:J15)</f>
        <v>107.33333333333333</v>
      </c>
      <c r="L15" s="11"/>
      <c r="M15">
        <v>110</v>
      </c>
      <c r="N15">
        <v>107</v>
      </c>
      <c r="O15">
        <v>103</v>
      </c>
      <c r="P15" s="11">
        <f>AVERAGE(M15:O15)</f>
        <v>106.66666666666667</v>
      </c>
      <c r="Q15" s="11"/>
      <c r="R15">
        <v>109</v>
      </c>
      <c r="S15">
        <v>106</v>
      </c>
      <c r="T15">
        <v>101</v>
      </c>
      <c r="U15" s="11">
        <f>AVERAGE(R15:T15)</f>
        <v>105.33333333333333</v>
      </c>
      <c r="V15" s="11"/>
      <c r="W15">
        <v>109</v>
      </c>
      <c r="X15">
        <v>103</v>
      </c>
      <c r="Y15">
        <v>103</v>
      </c>
      <c r="Z15" s="11">
        <f>AVERAGE(W15:Y15)</f>
        <v>105</v>
      </c>
      <c r="AA15" s="11"/>
      <c r="AB15">
        <v>104</v>
      </c>
      <c r="AC15">
        <v>99</v>
      </c>
      <c r="AD15">
        <v>103</v>
      </c>
      <c r="AE15" s="11">
        <f>AVERAGE(AB15:AD15)</f>
        <v>102</v>
      </c>
      <c r="AF15" s="11"/>
      <c r="AG15">
        <v>107</v>
      </c>
      <c r="AH15">
        <v>102</v>
      </c>
      <c r="AI15">
        <v>108</v>
      </c>
      <c r="AJ15" s="11">
        <f>AVERAGE(AG15:AI15)</f>
        <v>105.66666666666667</v>
      </c>
      <c r="AK15" s="11"/>
    </row>
    <row r="16" spans="1:37" x14ac:dyDescent="0.2">
      <c r="B16" t="s">
        <v>50</v>
      </c>
      <c r="C16">
        <v>74</v>
      </c>
      <c r="D16">
        <v>73</v>
      </c>
      <c r="E16">
        <v>66</v>
      </c>
      <c r="F16" s="11">
        <f>AVERAGE(C16:E16)</f>
        <v>71</v>
      </c>
      <c r="G16" s="11"/>
      <c r="H16">
        <v>71</v>
      </c>
      <c r="I16">
        <v>72</v>
      </c>
      <c r="J16">
        <v>72</v>
      </c>
      <c r="K16" s="11">
        <f>AVERAGE(H16:J16)</f>
        <v>71.666666666666671</v>
      </c>
      <c r="L16" s="11"/>
      <c r="M16">
        <v>72</v>
      </c>
      <c r="N16">
        <v>69</v>
      </c>
      <c r="O16">
        <v>69</v>
      </c>
      <c r="P16" s="11">
        <f>AVERAGE(M16:O16)</f>
        <v>70</v>
      </c>
      <c r="Q16" s="11"/>
      <c r="R16">
        <v>70</v>
      </c>
      <c r="S16">
        <v>69</v>
      </c>
      <c r="T16">
        <v>67</v>
      </c>
      <c r="U16" s="11">
        <f>AVERAGE(R16:T16)</f>
        <v>68.666666666666671</v>
      </c>
      <c r="V16" s="11"/>
      <c r="W16">
        <v>74</v>
      </c>
      <c r="X16">
        <v>68</v>
      </c>
      <c r="Y16">
        <v>69</v>
      </c>
      <c r="Z16" s="11">
        <f>AVERAGE(W16:Y16)</f>
        <v>70.333333333333329</v>
      </c>
      <c r="AA16" s="11"/>
      <c r="AB16">
        <v>66</v>
      </c>
      <c r="AC16">
        <v>64</v>
      </c>
      <c r="AD16">
        <v>68</v>
      </c>
      <c r="AE16" s="11">
        <f>AVERAGE(AB16:AD16)</f>
        <v>66</v>
      </c>
      <c r="AF16" s="11"/>
      <c r="AG16">
        <v>72</v>
      </c>
      <c r="AH16">
        <v>67</v>
      </c>
      <c r="AI16">
        <v>74</v>
      </c>
      <c r="AJ16" s="11">
        <f>AVERAGE(AG16:AI16)</f>
        <v>71</v>
      </c>
      <c r="AK16" s="11"/>
    </row>
    <row r="17" spans="1:37" x14ac:dyDescent="0.2">
      <c r="A17">
        <v>204</v>
      </c>
      <c r="B17" t="s">
        <v>35</v>
      </c>
      <c r="C17">
        <v>77.75</v>
      </c>
      <c r="D17">
        <v>77.8</v>
      </c>
      <c r="E17">
        <v>77.8</v>
      </c>
      <c r="F17" s="12">
        <f>AVERAGE(C17:E17)</f>
        <v>77.783333333333346</v>
      </c>
      <c r="G17" s="12"/>
      <c r="H17">
        <v>78.2</v>
      </c>
      <c r="I17">
        <v>78.2</v>
      </c>
      <c r="J17">
        <v>78.2</v>
      </c>
      <c r="K17" s="12">
        <f>AVERAGE(H17:J17)</f>
        <v>78.2</v>
      </c>
      <c r="L17" s="12"/>
      <c r="M17">
        <v>78.2</v>
      </c>
      <c r="N17">
        <v>78.2</v>
      </c>
      <c r="O17">
        <v>78.099999999999994</v>
      </c>
      <c r="P17" s="12">
        <f>AVERAGE(M17:O17)</f>
        <v>78.166666666666671</v>
      </c>
      <c r="Q17" s="12"/>
      <c r="R17">
        <v>78.099999999999994</v>
      </c>
      <c r="S17">
        <v>78.099999999999994</v>
      </c>
      <c r="T17">
        <v>78.099999999999994</v>
      </c>
      <c r="U17" s="12">
        <f>AVERAGE(R17:T17)</f>
        <v>78.099999999999994</v>
      </c>
      <c r="V17" s="12"/>
      <c r="W17">
        <v>77.900000000000006</v>
      </c>
      <c r="X17">
        <v>77.900000000000006</v>
      </c>
      <c r="Y17">
        <v>77.900000000000006</v>
      </c>
      <c r="Z17">
        <f>AVERAGE(W17:Y17)</f>
        <v>77.900000000000006</v>
      </c>
      <c r="AB17">
        <v>78.400000000000006</v>
      </c>
      <c r="AC17">
        <v>78.400000000000006</v>
      </c>
      <c r="AD17">
        <v>78.400000000000006</v>
      </c>
      <c r="AE17" s="12">
        <f>AVERAGE(AB17:AD17)</f>
        <v>78.400000000000006</v>
      </c>
      <c r="AF17" s="12"/>
      <c r="AG17">
        <v>77.900000000000006</v>
      </c>
      <c r="AH17">
        <v>77.900000000000006</v>
      </c>
      <c r="AI17">
        <v>77.900000000000006</v>
      </c>
      <c r="AJ17">
        <f>AVERAGE(AG17:AI17)</f>
        <v>77.900000000000006</v>
      </c>
    </row>
    <row r="18" spans="1:37" x14ac:dyDescent="0.2">
      <c r="B18" t="s">
        <v>36</v>
      </c>
      <c r="C18">
        <v>170.6</v>
      </c>
      <c r="F18" s="12">
        <f>AVERAGE(C18:E18)</f>
        <v>170.6</v>
      </c>
      <c r="G18" s="12"/>
      <c r="H18">
        <v>171</v>
      </c>
      <c r="K18" s="12">
        <f>AVERAGE(H18:J18)</f>
        <v>171</v>
      </c>
      <c r="L18" s="12"/>
      <c r="M18">
        <v>171.1</v>
      </c>
      <c r="P18" s="12">
        <f>AVERAGE(M18:O18)</f>
        <v>171.1</v>
      </c>
      <c r="Q18" s="12"/>
      <c r="R18">
        <v>171.1</v>
      </c>
      <c r="S18">
        <v>171.1</v>
      </c>
      <c r="T18">
        <v>171.1</v>
      </c>
      <c r="U18" s="12">
        <f>AVERAGE(R18:T18)</f>
        <v>171.1</v>
      </c>
      <c r="V18" s="12"/>
      <c r="W18">
        <v>171.2</v>
      </c>
      <c r="X18">
        <v>171.2</v>
      </c>
      <c r="Y18">
        <v>171.2</v>
      </c>
      <c r="Z18" s="12">
        <f>AVERAGE(W18:Y18)</f>
        <v>171.19999999999996</v>
      </c>
      <c r="AA18" s="12"/>
      <c r="AB18">
        <v>171.6</v>
      </c>
      <c r="AE18" s="12">
        <f>AVERAGE(AB18:AD18)</f>
        <v>171.6</v>
      </c>
      <c r="AF18" s="12"/>
      <c r="AG18">
        <v>171.1</v>
      </c>
      <c r="AH18">
        <v>171</v>
      </c>
      <c r="AI18">
        <v>171</v>
      </c>
      <c r="AJ18" s="12">
        <f>AVERAGE(AG18:AI18)</f>
        <v>171.03333333333333</v>
      </c>
      <c r="AK18" s="12"/>
    </row>
    <row r="19" spans="1:37" x14ac:dyDescent="0.2">
      <c r="B19" t="s">
        <v>37</v>
      </c>
      <c r="F19" s="12">
        <f>(F17/((F18/100)*(F18/100)))</f>
        <v>26.725663554647259</v>
      </c>
      <c r="G19" s="12"/>
      <c r="K19" s="12">
        <f>(K17/((K18/100)*(K18/100)))</f>
        <v>26.743271433945491</v>
      </c>
      <c r="L19" s="12"/>
      <c r="P19" s="12">
        <f>(P17/((P18/100)*(P18/100)))</f>
        <v>26.700633972110424</v>
      </c>
      <c r="Q19" s="12"/>
      <c r="U19" s="12">
        <f>(U17/((U18/100)*(U18/100)))</f>
        <v>26.677861576398598</v>
      </c>
      <c r="V19" s="12"/>
      <c r="Z19" s="12">
        <f>(Z17/((Z18/100)*(Z18/100)))</f>
        <v>26.57846755175126</v>
      </c>
      <c r="AA19" s="12"/>
      <c r="AE19" s="12">
        <f>(AE17/((AE18/100)*(AE18/100)))</f>
        <v>26.62450214897768</v>
      </c>
      <c r="AF19" s="12"/>
      <c r="AJ19" s="12">
        <f>(AJ17/((AJ18/100)*(AJ18/100)))</f>
        <v>26.630292571234705</v>
      </c>
      <c r="AK19" s="12"/>
    </row>
    <row r="20" spans="1:37" x14ac:dyDescent="0.2">
      <c r="B20" t="s">
        <v>51</v>
      </c>
      <c r="C20">
        <v>122</v>
      </c>
      <c r="D20">
        <v>113</v>
      </c>
      <c r="E20">
        <v>106</v>
      </c>
      <c r="F20" s="11">
        <f>AVERAGE(C20:E20)</f>
        <v>113.66666666666667</v>
      </c>
      <c r="G20" s="11"/>
      <c r="H20">
        <v>116</v>
      </c>
      <c r="I20">
        <v>112</v>
      </c>
      <c r="J20">
        <v>106</v>
      </c>
      <c r="K20" s="11">
        <f>AVERAGE(H20:J20)</f>
        <v>111.33333333333333</v>
      </c>
      <c r="L20" s="11"/>
      <c r="M20">
        <v>101</v>
      </c>
      <c r="N20">
        <v>109</v>
      </c>
      <c r="O20">
        <v>105</v>
      </c>
      <c r="P20" s="11">
        <f>AVERAGE(M20:O20)</f>
        <v>105</v>
      </c>
      <c r="Q20" s="11"/>
      <c r="R20">
        <v>115</v>
      </c>
      <c r="S20">
        <v>111</v>
      </c>
      <c r="T20">
        <v>115</v>
      </c>
      <c r="U20" s="11">
        <f>AVERAGE(R20:T20)</f>
        <v>113.66666666666667</v>
      </c>
      <c r="V20" s="11"/>
      <c r="W20">
        <v>109</v>
      </c>
      <c r="X20">
        <v>106</v>
      </c>
      <c r="Y20">
        <v>109</v>
      </c>
      <c r="Z20" s="11">
        <f>AVERAGE(W20:Y20)</f>
        <v>108</v>
      </c>
      <c r="AA20" s="11"/>
      <c r="AB20">
        <v>107</v>
      </c>
      <c r="AC20">
        <v>108</v>
      </c>
      <c r="AD20">
        <v>107</v>
      </c>
      <c r="AE20" s="11">
        <f>AVERAGE(AB20:AD20)</f>
        <v>107.33333333333333</v>
      </c>
      <c r="AF20" s="11"/>
      <c r="AG20">
        <v>119</v>
      </c>
      <c r="AH20">
        <v>120</v>
      </c>
      <c r="AI20">
        <v>114</v>
      </c>
      <c r="AJ20" s="11">
        <f>AVERAGE(AG20:AI20)</f>
        <v>117.66666666666667</v>
      </c>
      <c r="AK20" s="11"/>
    </row>
    <row r="21" spans="1:37" x14ac:dyDescent="0.2">
      <c r="B21" t="s">
        <v>50</v>
      </c>
      <c r="C21">
        <v>73</v>
      </c>
      <c r="D21">
        <v>74</v>
      </c>
      <c r="E21">
        <v>73</v>
      </c>
      <c r="F21" s="11">
        <f>AVERAGE(C21:E21)</f>
        <v>73.333333333333329</v>
      </c>
      <c r="G21" s="11"/>
      <c r="H21">
        <v>75</v>
      </c>
      <c r="I21">
        <v>72</v>
      </c>
      <c r="J21">
        <v>69</v>
      </c>
      <c r="K21" s="11">
        <f>AVERAGE(H21:J21)</f>
        <v>72</v>
      </c>
      <c r="L21" s="11"/>
      <c r="M21">
        <v>71</v>
      </c>
      <c r="N21">
        <v>74</v>
      </c>
      <c r="O21">
        <v>72</v>
      </c>
      <c r="P21" s="11">
        <f>AVERAGE(M21:O21)</f>
        <v>72.333333333333329</v>
      </c>
      <c r="Q21" s="11"/>
      <c r="R21">
        <v>75</v>
      </c>
      <c r="S21">
        <v>74</v>
      </c>
      <c r="T21">
        <v>75</v>
      </c>
      <c r="U21" s="11">
        <f>AVERAGE(R21:T21)</f>
        <v>74.666666666666671</v>
      </c>
      <c r="V21" s="11"/>
      <c r="W21">
        <v>71</v>
      </c>
      <c r="X21">
        <v>69</v>
      </c>
      <c r="Y21">
        <v>75</v>
      </c>
      <c r="Z21" s="11">
        <f>AVERAGE(W21:Y21)</f>
        <v>71.666666666666671</v>
      </c>
      <c r="AA21" s="11"/>
      <c r="AB21">
        <v>71</v>
      </c>
      <c r="AC21">
        <v>72</v>
      </c>
      <c r="AD21">
        <v>74</v>
      </c>
      <c r="AE21" s="11">
        <f>AVERAGE(AB21:AD21)</f>
        <v>72.333333333333329</v>
      </c>
      <c r="AF21" s="11"/>
      <c r="AG21">
        <v>79</v>
      </c>
      <c r="AH21">
        <v>79</v>
      </c>
      <c r="AI21">
        <v>76</v>
      </c>
      <c r="AJ21" s="11">
        <f>AVERAGE(AG21:AI21)</f>
        <v>78</v>
      </c>
      <c r="AK21" s="11"/>
    </row>
    <row r="22" spans="1:37" x14ac:dyDescent="0.2">
      <c r="A22">
        <v>205</v>
      </c>
      <c r="B22" t="s">
        <v>35</v>
      </c>
      <c r="C22">
        <v>73.900000000000006</v>
      </c>
      <c r="D22">
        <v>73.8</v>
      </c>
      <c r="E22">
        <v>73.900000000000006</v>
      </c>
      <c r="F22" s="12">
        <f>AVERAGE(C22:E22)</f>
        <v>73.86666666666666</v>
      </c>
      <c r="G22" s="12"/>
      <c r="H22">
        <v>73</v>
      </c>
      <c r="I22">
        <v>72.900000000000006</v>
      </c>
      <c r="J22">
        <v>73.099999999999994</v>
      </c>
      <c r="K22" s="12">
        <f>AVERAGE(H22:J22)</f>
        <v>73</v>
      </c>
      <c r="M22">
        <v>73.8</v>
      </c>
      <c r="N22">
        <v>73.8</v>
      </c>
      <c r="O22">
        <v>73.8</v>
      </c>
      <c r="P22" s="12">
        <f>AVERAGE(M22:O22)</f>
        <v>73.8</v>
      </c>
      <c r="R22">
        <v>74</v>
      </c>
      <c r="S22">
        <v>74.099999999999994</v>
      </c>
      <c r="T22">
        <v>74</v>
      </c>
      <c r="U22" s="12">
        <f>AVERAGE(R22:T22)</f>
        <v>74.033333333333331</v>
      </c>
      <c r="W22">
        <v>72.3</v>
      </c>
      <c r="X22">
        <v>72.400000000000006</v>
      </c>
      <c r="Y22">
        <v>72.3</v>
      </c>
      <c r="Z22" s="12">
        <f>AVERAGE(W22:Y22)</f>
        <v>72.333333333333329</v>
      </c>
      <c r="AB22">
        <v>72.599999999999994</v>
      </c>
      <c r="AC22">
        <v>72.599999999999994</v>
      </c>
      <c r="AD22">
        <v>72.599999999999994</v>
      </c>
      <c r="AE22" s="12">
        <f>AVERAGE(AB22:AD22)</f>
        <v>72.599999999999994</v>
      </c>
      <c r="AG22">
        <v>72.7</v>
      </c>
      <c r="AH22">
        <v>72.7</v>
      </c>
      <c r="AI22">
        <v>72.7</v>
      </c>
      <c r="AJ22">
        <f>AVERAGE(AG22:AI22)</f>
        <v>72.7</v>
      </c>
    </row>
    <row r="23" spans="1:37" x14ac:dyDescent="0.2">
      <c r="B23" t="s">
        <v>36</v>
      </c>
      <c r="C23">
        <v>173.7</v>
      </c>
      <c r="D23">
        <v>173.7</v>
      </c>
      <c r="F23" s="12">
        <f>AVERAGE(C23:E23)</f>
        <v>173.7</v>
      </c>
      <c r="H23">
        <v>173.5</v>
      </c>
      <c r="K23" s="12">
        <f>AVERAGE(H23:J23)</f>
        <v>173.5</v>
      </c>
      <c r="M23">
        <v>173.8</v>
      </c>
      <c r="P23" s="12">
        <f>AVERAGE(M23:O23)</f>
        <v>173.8</v>
      </c>
      <c r="R23">
        <v>173.7</v>
      </c>
      <c r="S23">
        <v>173.7</v>
      </c>
      <c r="T23">
        <v>173.7</v>
      </c>
      <c r="U23" s="12">
        <f>AVERAGE(R23:T23)</f>
        <v>173.69999999999996</v>
      </c>
      <c r="W23">
        <v>173.4</v>
      </c>
      <c r="X23">
        <v>173.4</v>
      </c>
      <c r="Y23">
        <v>173.4</v>
      </c>
      <c r="Z23" s="12">
        <f>AVERAGE(W23:Y23)</f>
        <v>173.4</v>
      </c>
      <c r="AB23">
        <v>173.3</v>
      </c>
      <c r="AE23" s="12">
        <f>AVERAGE(AB23:AD23)</f>
        <v>173.3</v>
      </c>
      <c r="AG23">
        <v>173.7</v>
      </c>
      <c r="AJ23" s="12">
        <f>AVERAGE(AG23:AI23)</f>
        <v>173.7</v>
      </c>
    </row>
    <row r="24" spans="1:37" x14ac:dyDescent="0.2">
      <c r="B24" t="s">
        <v>37</v>
      </c>
      <c r="F24" s="12">
        <f>(F22/((F23/100)*(F23/100)))</f>
        <v>24.482111100394665</v>
      </c>
      <c r="K24" s="12">
        <f>(K22/((K23/100)*(K23/100)))</f>
        <v>24.250678935959936</v>
      </c>
      <c r="P24" s="12">
        <f>(P22/((P23/100)*(P23/100)))</f>
        <v>24.431876116483764</v>
      </c>
      <c r="U24" s="12">
        <f>(U22/((U23/100)*(U23/100)))</f>
        <v>24.537350520747548</v>
      </c>
      <c r="Z24" s="12">
        <f>(Z22/((Z23/100)*(Z23/100)))</f>
        <v>24.056934893730432</v>
      </c>
      <c r="AE24" s="12">
        <f>(AE22/((AE23/100)*(AE23/100)))</f>
        <v>24.173497788591103</v>
      </c>
      <c r="AJ24" s="12">
        <f>(AJ22/((AJ23/100)*(AJ23/100)))</f>
        <v>24.095435157924534</v>
      </c>
    </row>
    <row r="25" spans="1:37" x14ac:dyDescent="0.2">
      <c r="B25" t="s">
        <v>51</v>
      </c>
      <c r="C25">
        <v>131</v>
      </c>
      <c r="D25">
        <v>117</v>
      </c>
      <c r="E25">
        <v>114</v>
      </c>
      <c r="F25" s="11">
        <f>AVERAGE(C25:E25)</f>
        <v>120.66666666666667</v>
      </c>
      <c r="H25">
        <v>118</v>
      </c>
      <c r="I25">
        <v>131</v>
      </c>
      <c r="J25">
        <v>117</v>
      </c>
      <c r="K25" s="11">
        <f>AVERAGE(H25:J25)</f>
        <v>122</v>
      </c>
      <c r="M25">
        <v>116</v>
      </c>
      <c r="N25">
        <v>114</v>
      </c>
      <c r="O25">
        <v>116</v>
      </c>
      <c r="P25" s="11">
        <f>AVERAGE(M25:O25)</f>
        <v>115.33333333333333</v>
      </c>
      <c r="R25">
        <v>127</v>
      </c>
      <c r="S25">
        <v>128</v>
      </c>
      <c r="T25">
        <v>121</v>
      </c>
      <c r="U25" s="11">
        <f>AVERAGE(R25:T25)</f>
        <v>125.33333333333333</v>
      </c>
      <c r="W25">
        <v>116</v>
      </c>
      <c r="X25">
        <v>120</v>
      </c>
      <c r="Y25">
        <v>112</v>
      </c>
      <c r="Z25" s="11">
        <f>AVERAGE(W25:Y25)</f>
        <v>116</v>
      </c>
      <c r="AB25">
        <v>113</v>
      </c>
      <c r="AC25">
        <v>113</v>
      </c>
      <c r="AD25">
        <v>112</v>
      </c>
      <c r="AE25" s="11">
        <f>AVERAGE(AB25:AD25)</f>
        <v>112.66666666666667</v>
      </c>
      <c r="AG25">
        <v>114</v>
      </c>
      <c r="AH25">
        <v>113</v>
      </c>
      <c r="AI25">
        <v>120</v>
      </c>
      <c r="AJ25" s="11">
        <f>AVERAGE(AG25:AI25)</f>
        <v>115.66666666666667</v>
      </c>
    </row>
    <row r="26" spans="1:37" x14ac:dyDescent="0.2">
      <c r="B26" t="s">
        <v>50</v>
      </c>
      <c r="C26">
        <v>89</v>
      </c>
      <c r="D26">
        <v>76</v>
      </c>
      <c r="E26">
        <v>75</v>
      </c>
      <c r="F26" s="11">
        <f>AVERAGE(C26:E26)</f>
        <v>80</v>
      </c>
      <c r="H26">
        <v>83</v>
      </c>
      <c r="I26">
        <v>85</v>
      </c>
      <c r="J26">
        <v>71</v>
      </c>
      <c r="K26" s="11">
        <f>AVERAGE(H26:J26)</f>
        <v>79.666666666666671</v>
      </c>
      <c r="M26">
        <v>78</v>
      </c>
      <c r="N26">
        <v>78</v>
      </c>
      <c r="O26">
        <v>79</v>
      </c>
      <c r="P26" s="11">
        <f>AVERAGE(M26:O26)</f>
        <v>78.333333333333329</v>
      </c>
      <c r="R26">
        <v>80</v>
      </c>
      <c r="S26">
        <v>82</v>
      </c>
      <c r="T26">
        <v>82</v>
      </c>
      <c r="U26" s="11">
        <f>AVERAGE(R26:T26)</f>
        <v>81.333333333333329</v>
      </c>
      <c r="W26">
        <v>79</v>
      </c>
      <c r="X26">
        <v>76</v>
      </c>
      <c r="Y26">
        <v>73</v>
      </c>
      <c r="Z26" s="11">
        <f>AVERAGE(W26:Y26)</f>
        <v>76</v>
      </c>
      <c r="AB26">
        <v>77</v>
      </c>
      <c r="AC26">
        <v>75</v>
      </c>
      <c r="AD26">
        <v>76</v>
      </c>
      <c r="AE26" s="11">
        <f>AVERAGE(AB26:AD26)</f>
        <v>76</v>
      </c>
      <c r="AG26">
        <v>75</v>
      </c>
      <c r="AH26">
        <v>74</v>
      </c>
      <c r="AI26">
        <v>77</v>
      </c>
      <c r="AJ26" s="11">
        <f>AVERAGE(AG26:AI26)</f>
        <v>75.333333333333329</v>
      </c>
    </row>
    <row r="27" spans="1:37" x14ac:dyDescent="0.2">
      <c r="A27">
        <v>206</v>
      </c>
      <c r="B27" t="s">
        <v>35</v>
      </c>
      <c r="C27">
        <v>77.8</v>
      </c>
      <c r="D27">
        <v>77.8</v>
      </c>
      <c r="E27">
        <v>77.8</v>
      </c>
      <c r="F27" s="12">
        <f t="shared" ref="F27:F28" si="0">AVERAGE(C27:E27)</f>
        <v>77.8</v>
      </c>
      <c r="H27">
        <v>75.900000000000006</v>
      </c>
      <c r="I27">
        <v>76</v>
      </c>
      <c r="J27">
        <v>76</v>
      </c>
      <c r="K27" s="12">
        <f t="shared" ref="K27:K28" si="1">AVERAGE(H27:J27)</f>
        <v>75.966666666666669</v>
      </c>
      <c r="M27">
        <v>76</v>
      </c>
      <c r="N27">
        <v>76</v>
      </c>
      <c r="O27">
        <v>76</v>
      </c>
      <c r="P27" s="12">
        <f t="shared" ref="P27:P28" si="2">AVERAGE(M27:O27)</f>
        <v>76</v>
      </c>
      <c r="R27">
        <v>75.7</v>
      </c>
      <c r="S27">
        <v>75.7</v>
      </c>
      <c r="T27">
        <v>75.7</v>
      </c>
      <c r="U27" s="12">
        <f t="shared" ref="U27:U28" si="3">AVERAGE(R27:T27)</f>
        <v>75.7</v>
      </c>
      <c r="W27">
        <v>75</v>
      </c>
      <c r="X27">
        <v>75</v>
      </c>
      <c r="Y27">
        <v>75.099999999999994</v>
      </c>
      <c r="Z27" s="12">
        <f t="shared" ref="Z27:Z28" si="4">AVERAGE(W27:Y27)</f>
        <v>75.033333333333331</v>
      </c>
      <c r="AB27">
        <v>74.900000000000006</v>
      </c>
      <c r="AC27">
        <v>74.900000000000006</v>
      </c>
      <c r="AD27">
        <v>74.900000000000006</v>
      </c>
      <c r="AE27" s="12">
        <f t="shared" ref="AE27:AE28" si="5">AVERAGE(AB27:AD27)</f>
        <v>74.900000000000006</v>
      </c>
      <c r="AG27">
        <v>75.2</v>
      </c>
      <c r="AH27">
        <v>75.2</v>
      </c>
      <c r="AI27">
        <v>75</v>
      </c>
      <c r="AJ27" s="12">
        <f t="shared" ref="AJ27:AJ28" si="6">AVERAGE(AG27:AI27)</f>
        <v>75.13333333333334</v>
      </c>
    </row>
    <row r="28" spans="1:37" x14ac:dyDescent="0.2">
      <c r="B28" t="s">
        <v>36</v>
      </c>
      <c r="C28">
        <v>180</v>
      </c>
      <c r="D28">
        <v>180</v>
      </c>
      <c r="E28">
        <v>180</v>
      </c>
      <c r="F28" s="12">
        <f t="shared" si="0"/>
        <v>180</v>
      </c>
      <c r="H28">
        <v>179.6</v>
      </c>
      <c r="I28">
        <v>179.6</v>
      </c>
      <c r="J28">
        <v>179.6</v>
      </c>
      <c r="K28" s="12">
        <f t="shared" si="1"/>
        <v>179.6</v>
      </c>
      <c r="M28">
        <v>179.8</v>
      </c>
      <c r="N28">
        <v>179.8</v>
      </c>
      <c r="O28">
        <v>179.7</v>
      </c>
      <c r="P28" s="12">
        <f t="shared" si="2"/>
        <v>179.76666666666665</v>
      </c>
      <c r="R28">
        <v>179.5</v>
      </c>
      <c r="U28" s="12">
        <f t="shared" si="3"/>
        <v>179.5</v>
      </c>
      <c r="W28">
        <v>179.6</v>
      </c>
      <c r="X28">
        <v>179.4</v>
      </c>
      <c r="Y28">
        <v>179.4</v>
      </c>
      <c r="Z28" s="12">
        <f t="shared" si="4"/>
        <v>179.46666666666667</v>
      </c>
      <c r="AB28">
        <v>179.3</v>
      </c>
      <c r="AC28">
        <v>179.3</v>
      </c>
      <c r="AD28">
        <v>179.3</v>
      </c>
      <c r="AE28" s="12">
        <f t="shared" si="5"/>
        <v>179.30000000000004</v>
      </c>
      <c r="AG28">
        <v>179.7</v>
      </c>
      <c r="AJ28" s="12">
        <f t="shared" si="6"/>
        <v>179.7</v>
      </c>
    </row>
    <row r="29" spans="1:37" x14ac:dyDescent="0.2">
      <c r="B29" t="s">
        <v>37</v>
      </c>
      <c r="F29" s="12">
        <f t="shared" ref="F29" si="7">(F27/((F28/100)*(F28/100)))</f>
        <v>24.012345679012345</v>
      </c>
      <c r="K29" s="12">
        <f t="shared" ref="K29" si="8">(K27/((K28/100)*(K28/100)))</f>
        <v>23.551057121079097</v>
      </c>
      <c r="P29" s="12">
        <f t="shared" ref="P29" si="9">(P27/((P28/100)*(P28/100)))</f>
        <v>23.517722477740598</v>
      </c>
      <c r="U29" s="12">
        <f t="shared" ref="U29" si="10">(U27/((U28/100)*(U28/100)))</f>
        <v>23.49454147624553</v>
      </c>
      <c r="Z29" s="12">
        <f t="shared" ref="Z29" si="11">(Z27/((Z28/100)*(Z28/100)))</f>
        <v>23.296283744251305</v>
      </c>
      <c r="AE29" s="12">
        <f t="shared" ref="AE29" si="12">(AE27/((AE28/100)*(AE28/100)))</f>
        <v>23.298139352734754</v>
      </c>
      <c r="AJ29" s="12">
        <f t="shared" ref="AJ29" si="13">(AJ27/((AJ28/100)*(AJ28/100)))</f>
        <v>23.266791754059074</v>
      </c>
    </row>
    <row r="30" spans="1:37" x14ac:dyDescent="0.2">
      <c r="B30" t="s">
        <v>51</v>
      </c>
      <c r="C30">
        <v>136</v>
      </c>
      <c r="D30">
        <v>119</v>
      </c>
      <c r="E30">
        <v>117</v>
      </c>
      <c r="F30" s="11">
        <f t="shared" ref="F30:F33" si="14">AVERAGE(C30:E30)</f>
        <v>124</v>
      </c>
      <c r="H30">
        <v>128</v>
      </c>
      <c r="I30">
        <v>124</v>
      </c>
      <c r="J30">
        <v>124</v>
      </c>
      <c r="K30" s="11">
        <f t="shared" ref="K30:K33" si="15">AVERAGE(H30:J30)</f>
        <v>125.33333333333333</v>
      </c>
      <c r="M30">
        <v>132</v>
      </c>
      <c r="N30">
        <v>127</v>
      </c>
      <c r="O30">
        <v>126</v>
      </c>
      <c r="P30" s="11">
        <f t="shared" ref="P30:P33" si="16">AVERAGE(M30:O30)</f>
        <v>128.33333333333334</v>
      </c>
      <c r="R30">
        <v>107</v>
      </c>
      <c r="S30">
        <v>108</v>
      </c>
      <c r="T30">
        <v>110</v>
      </c>
      <c r="U30" s="11">
        <f t="shared" ref="U30:U33" si="17">AVERAGE(R30:T30)</f>
        <v>108.33333333333333</v>
      </c>
      <c r="W30">
        <v>125</v>
      </c>
      <c r="X30">
        <v>118</v>
      </c>
      <c r="Y30">
        <v>110</v>
      </c>
      <c r="Z30" s="11">
        <f t="shared" ref="Z30:Z33" si="18">AVERAGE(W30:Y30)</f>
        <v>117.66666666666667</v>
      </c>
      <c r="AB30">
        <v>116</v>
      </c>
      <c r="AC30">
        <v>114</v>
      </c>
      <c r="AD30">
        <v>117</v>
      </c>
      <c r="AE30" s="11">
        <f t="shared" ref="AE30:AE33" si="19">AVERAGE(AB30:AD30)</f>
        <v>115.66666666666667</v>
      </c>
      <c r="AG30">
        <v>120</v>
      </c>
      <c r="AH30">
        <v>124</v>
      </c>
      <c r="AI30">
        <v>116</v>
      </c>
      <c r="AJ30" s="11">
        <f t="shared" ref="AJ30:AJ33" si="20">AVERAGE(AG30:AI30)</f>
        <v>120</v>
      </c>
    </row>
    <row r="31" spans="1:37" x14ac:dyDescent="0.2">
      <c r="B31" t="s">
        <v>50</v>
      </c>
      <c r="C31">
        <v>78</v>
      </c>
      <c r="D31">
        <v>67</v>
      </c>
      <c r="E31">
        <v>67</v>
      </c>
      <c r="F31" s="11">
        <f t="shared" si="14"/>
        <v>70.666666666666671</v>
      </c>
      <c r="H31">
        <v>67</v>
      </c>
      <c r="I31">
        <v>73</v>
      </c>
      <c r="J31">
        <v>72</v>
      </c>
      <c r="K31" s="11">
        <f t="shared" si="15"/>
        <v>70.666666666666671</v>
      </c>
      <c r="M31">
        <v>80</v>
      </c>
      <c r="N31">
        <v>76</v>
      </c>
      <c r="O31">
        <v>70</v>
      </c>
      <c r="P31" s="11">
        <f t="shared" si="16"/>
        <v>75.333333333333329</v>
      </c>
      <c r="R31">
        <v>66</v>
      </c>
      <c r="S31">
        <v>68</v>
      </c>
      <c r="T31">
        <v>70</v>
      </c>
      <c r="U31" s="11">
        <f t="shared" si="17"/>
        <v>68</v>
      </c>
      <c r="W31">
        <v>77</v>
      </c>
      <c r="X31">
        <v>74</v>
      </c>
      <c r="Y31">
        <v>70</v>
      </c>
      <c r="Z31" s="11">
        <f t="shared" si="18"/>
        <v>73.666666666666671</v>
      </c>
      <c r="AB31">
        <v>71</v>
      </c>
      <c r="AC31">
        <v>69</v>
      </c>
      <c r="AD31">
        <v>70</v>
      </c>
      <c r="AE31" s="11">
        <f t="shared" si="19"/>
        <v>70</v>
      </c>
      <c r="AG31">
        <v>77</v>
      </c>
      <c r="AH31">
        <v>74</v>
      </c>
      <c r="AI31">
        <v>66</v>
      </c>
      <c r="AJ31" s="11">
        <f t="shared" si="20"/>
        <v>72.333333333333329</v>
      </c>
    </row>
    <row r="32" spans="1:37" x14ac:dyDescent="0.2">
      <c r="A32">
        <v>208</v>
      </c>
      <c r="B32" t="s">
        <v>35</v>
      </c>
      <c r="C32">
        <v>88.5</v>
      </c>
      <c r="D32">
        <v>88.4</v>
      </c>
      <c r="E32">
        <v>88.4</v>
      </c>
      <c r="F32" s="12">
        <f t="shared" si="14"/>
        <v>88.433333333333337</v>
      </c>
      <c r="H32">
        <v>87.2</v>
      </c>
      <c r="I32">
        <v>87.2</v>
      </c>
      <c r="J32">
        <v>87.2</v>
      </c>
      <c r="K32" s="12">
        <f t="shared" si="15"/>
        <v>87.2</v>
      </c>
      <c r="M32">
        <v>87.5</v>
      </c>
      <c r="N32">
        <v>87.6</v>
      </c>
      <c r="O32">
        <v>87.5</v>
      </c>
      <c r="P32" s="12">
        <f t="shared" si="16"/>
        <v>87.533333333333346</v>
      </c>
      <c r="R32">
        <v>87</v>
      </c>
      <c r="S32">
        <v>87</v>
      </c>
      <c r="T32">
        <v>87</v>
      </c>
      <c r="U32" s="12">
        <f t="shared" si="17"/>
        <v>87</v>
      </c>
      <c r="W32">
        <v>88.2</v>
      </c>
      <c r="X32">
        <v>88.2</v>
      </c>
      <c r="Y32">
        <v>88.2</v>
      </c>
      <c r="Z32" s="12">
        <f t="shared" si="18"/>
        <v>88.2</v>
      </c>
      <c r="AB32">
        <v>88.5</v>
      </c>
      <c r="AC32">
        <v>88.4</v>
      </c>
      <c r="AD32">
        <v>88.4</v>
      </c>
      <c r="AE32" s="12">
        <f t="shared" si="19"/>
        <v>88.433333333333337</v>
      </c>
      <c r="AG32">
        <v>88.9</v>
      </c>
      <c r="AH32">
        <v>88.9</v>
      </c>
      <c r="AI32">
        <v>89</v>
      </c>
      <c r="AJ32" s="12">
        <f t="shared" si="20"/>
        <v>88.933333333333337</v>
      </c>
    </row>
    <row r="33" spans="1:36" x14ac:dyDescent="0.2">
      <c r="B33" t="s">
        <v>36</v>
      </c>
      <c r="C33">
        <v>170.9</v>
      </c>
      <c r="D33">
        <v>170.9</v>
      </c>
      <c r="F33" s="12">
        <f t="shared" si="14"/>
        <v>170.9</v>
      </c>
      <c r="H33">
        <v>170.7</v>
      </c>
      <c r="K33" s="12">
        <f t="shared" si="15"/>
        <v>170.7</v>
      </c>
      <c r="M33">
        <v>170.6</v>
      </c>
      <c r="P33" s="12">
        <f t="shared" si="16"/>
        <v>170.6</v>
      </c>
      <c r="R33">
        <v>170.9</v>
      </c>
      <c r="U33" s="12">
        <f t="shared" si="17"/>
        <v>170.9</v>
      </c>
      <c r="W33">
        <v>171</v>
      </c>
      <c r="Z33" s="12">
        <f t="shared" si="18"/>
        <v>171</v>
      </c>
      <c r="AB33">
        <v>171</v>
      </c>
      <c r="AE33" s="12">
        <f t="shared" si="19"/>
        <v>171</v>
      </c>
      <c r="AG33">
        <v>171.1</v>
      </c>
      <c r="AJ33" s="12">
        <f t="shared" si="20"/>
        <v>171.1</v>
      </c>
    </row>
    <row r="34" spans="1:36" x14ac:dyDescent="0.2">
      <c r="B34" t="s">
        <v>37</v>
      </c>
      <c r="F34" s="12">
        <f t="shared" ref="F34" si="21">(F32/((F33/100)*(F33/100)))</f>
        <v>30.27832664140087</v>
      </c>
      <c r="K34" s="12">
        <f t="shared" ref="K34" si="22">(K32/((K33/100)*(K33/100)))</f>
        <v>29.926053134530999</v>
      </c>
      <c r="P34" s="12">
        <f t="shared" ref="P34" si="23">(P32/((P33/100)*(P33/100)))</f>
        <v>30.075677092137862</v>
      </c>
      <c r="U34" s="12">
        <f t="shared" ref="U34" si="24">(U32/((U33/100)*(U33/100)))</f>
        <v>29.787573514533083</v>
      </c>
      <c r="Z34" s="12">
        <f t="shared" ref="Z34" si="25">(Z32/((Z33/100)*(Z33/100)))</f>
        <v>30.163127116035707</v>
      </c>
      <c r="AE34" s="12">
        <f t="shared" ref="AE34" si="26">(AE32/((AE33/100)*(AE33/100)))</f>
        <v>30.242923748617812</v>
      </c>
      <c r="AJ34" s="12">
        <f t="shared" ref="AJ34" si="27">(AJ32/((AJ33/100)*(AJ33/100)))</f>
        <v>30.378375879569557</v>
      </c>
    </row>
    <row r="35" spans="1:36" x14ac:dyDescent="0.2">
      <c r="B35" t="s">
        <v>51</v>
      </c>
      <c r="C35">
        <v>119</v>
      </c>
      <c r="D35">
        <v>123</v>
      </c>
      <c r="E35">
        <v>118</v>
      </c>
      <c r="F35" s="11">
        <f t="shared" ref="F35:F38" si="28">AVERAGE(C35:E35)</f>
        <v>120</v>
      </c>
      <c r="H35">
        <v>119</v>
      </c>
      <c r="I35">
        <v>121</v>
      </c>
      <c r="J35">
        <v>119</v>
      </c>
      <c r="K35" s="11">
        <f t="shared" ref="K35:K38" si="29">AVERAGE(H35:J35)</f>
        <v>119.66666666666667</v>
      </c>
      <c r="M35">
        <v>117</v>
      </c>
      <c r="N35">
        <v>104</v>
      </c>
      <c r="O35">
        <v>110</v>
      </c>
      <c r="P35" s="11">
        <f t="shared" ref="P35:P38" si="30">AVERAGE(M35:O35)</f>
        <v>110.33333333333333</v>
      </c>
      <c r="R35">
        <v>106</v>
      </c>
      <c r="S35">
        <v>109</v>
      </c>
      <c r="T35">
        <v>108</v>
      </c>
      <c r="U35" s="11">
        <f t="shared" ref="U35:U38" si="31">AVERAGE(R35:T35)</f>
        <v>107.66666666666667</v>
      </c>
      <c r="W35">
        <v>113</v>
      </c>
      <c r="X35">
        <v>112</v>
      </c>
      <c r="Y35">
        <v>119</v>
      </c>
      <c r="Z35" s="11">
        <f t="shared" ref="Z35:Z38" si="32">AVERAGE(W35:Y35)</f>
        <v>114.66666666666667</v>
      </c>
      <c r="AB35">
        <v>119</v>
      </c>
      <c r="AC35">
        <v>114</v>
      </c>
      <c r="AD35">
        <v>113</v>
      </c>
      <c r="AE35" s="11">
        <f t="shared" ref="AE35:AE38" si="33">AVERAGE(AB35:AD35)</f>
        <v>115.33333333333333</v>
      </c>
      <c r="AG35">
        <v>118</v>
      </c>
      <c r="AH35">
        <v>116</v>
      </c>
      <c r="AI35">
        <v>119</v>
      </c>
      <c r="AJ35" s="11">
        <f t="shared" ref="AJ35:AJ38" si="34">AVERAGE(AG35:AI35)</f>
        <v>117.66666666666667</v>
      </c>
    </row>
    <row r="36" spans="1:36" x14ac:dyDescent="0.2">
      <c r="B36" t="s">
        <v>50</v>
      </c>
      <c r="C36">
        <v>74</v>
      </c>
      <c r="D36">
        <v>76</v>
      </c>
      <c r="E36">
        <v>74</v>
      </c>
      <c r="F36" s="11">
        <f t="shared" si="28"/>
        <v>74.666666666666671</v>
      </c>
      <c r="H36">
        <v>74</v>
      </c>
      <c r="I36">
        <v>77</v>
      </c>
      <c r="J36">
        <v>74</v>
      </c>
      <c r="K36" s="11">
        <f t="shared" si="29"/>
        <v>75</v>
      </c>
      <c r="M36">
        <v>72</v>
      </c>
      <c r="N36">
        <v>69</v>
      </c>
      <c r="O36">
        <v>68</v>
      </c>
      <c r="P36" s="11">
        <f t="shared" si="30"/>
        <v>69.666666666666671</v>
      </c>
      <c r="R36">
        <v>68</v>
      </c>
      <c r="S36">
        <v>69</v>
      </c>
      <c r="T36">
        <v>67</v>
      </c>
      <c r="U36" s="11">
        <f t="shared" si="31"/>
        <v>68</v>
      </c>
      <c r="W36">
        <v>74</v>
      </c>
      <c r="X36">
        <v>71</v>
      </c>
      <c r="Y36">
        <v>71</v>
      </c>
      <c r="Z36" s="11">
        <f t="shared" si="32"/>
        <v>72</v>
      </c>
      <c r="AB36">
        <v>78</v>
      </c>
      <c r="AC36">
        <v>70</v>
      </c>
      <c r="AD36">
        <v>74</v>
      </c>
      <c r="AE36" s="11">
        <f t="shared" si="33"/>
        <v>74</v>
      </c>
      <c r="AG36">
        <v>67</v>
      </c>
      <c r="AH36">
        <v>74</v>
      </c>
      <c r="AI36">
        <v>72</v>
      </c>
      <c r="AJ36" s="11">
        <f t="shared" si="34"/>
        <v>71</v>
      </c>
    </row>
    <row r="37" spans="1:36" x14ac:dyDescent="0.2">
      <c r="A37">
        <v>209</v>
      </c>
      <c r="B37" t="s">
        <v>35</v>
      </c>
      <c r="C37">
        <v>59.4</v>
      </c>
      <c r="D37">
        <v>59.4</v>
      </c>
      <c r="E37">
        <v>59.4</v>
      </c>
      <c r="F37" s="12">
        <f t="shared" si="28"/>
        <v>59.4</v>
      </c>
      <c r="H37">
        <v>58.4</v>
      </c>
      <c r="I37">
        <v>58.5</v>
      </c>
      <c r="J37">
        <v>58.5</v>
      </c>
      <c r="K37" s="12">
        <f t="shared" si="29"/>
        <v>58.466666666666669</v>
      </c>
      <c r="M37">
        <v>58.4</v>
      </c>
      <c r="N37">
        <v>58.4</v>
      </c>
      <c r="O37">
        <v>58.4</v>
      </c>
      <c r="P37" s="12">
        <f t="shared" si="30"/>
        <v>58.4</v>
      </c>
      <c r="R37">
        <v>58.2</v>
      </c>
      <c r="S37">
        <v>58.2</v>
      </c>
      <c r="T37">
        <v>58.2</v>
      </c>
      <c r="U37" s="12">
        <f t="shared" si="31"/>
        <v>58.20000000000001</v>
      </c>
      <c r="W37">
        <v>58.2</v>
      </c>
      <c r="X37">
        <v>58.2</v>
      </c>
      <c r="Y37">
        <v>58.2</v>
      </c>
      <c r="Z37" s="12">
        <f t="shared" si="32"/>
        <v>58.20000000000001</v>
      </c>
      <c r="AB37">
        <v>59.5</v>
      </c>
      <c r="AC37">
        <v>59.5</v>
      </c>
      <c r="AD37">
        <v>59.5</v>
      </c>
      <c r="AE37" s="12">
        <f t="shared" si="33"/>
        <v>59.5</v>
      </c>
      <c r="AG37">
        <v>59.2</v>
      </c>
      <c r="AH37">
        <v>59.2</v>
      </c>
      <c r="AI37">
        <v>59.2</v>
      </c>
      <c r="AJ37">
        <f t="shared" si="34"/>
        <v>59.20000000000001</v>
      </c>
    </row>
    <row r="38" spans="1:36" x14ac:dyDescent="0.2">
      <c r="B38" t="s">
        <v>36</v>
      </c>
      <c r="C38">
        <v>152.5</v>
      </c>
      <c r="D38">
        <v>152.69999999999999</v>
      </c>
      <c r="F38" s="12">
        <f t="shared" si="28"/>
        <v>152.6</v>
      </c>
      <c r="H38">
        <v>151.6</v>
      </c>
      <c r="I38">
        <v>151.69999999999999</v>
      </c>
      <c r="J38">
        <v>151.30000000000001</v>
      </c>
      <c r="K38" s="12">
        <f t="shared" si="29"/>
        <v>151.53333333333333</v>
      </c>
      <c r="M38">
        <v>151.80000000000001</v>
      </c>
      <c r="N38">
        <v>151.80000000000001</v>
      </c>
      <c r="O38">
        <v>151.80000000000001</v>
      </c>
      <c r="P38" s="12">
        <f t="shared" si="30"/>
        <v>151.80000000000001</v>
      </c>
      <c r="R38">
        <v>151.5</v>
      </c>
      <c r="S38">
        <v>151.5</v>
      </c>
      <c r="T38">
        <v>151.5</v>
      </c>
      <c r="U38" s="12">
        <f t="shared" si="31"/>
        <v>151.5</v>
      </c>
      <c r="W38">
        <v>151.4</v>
      </c>
      <c r="Z38" s="12">
        <f t="shared" si="32"/>
        <v>151.4</v>
      </c>
      <c r="AB38">
        <v>151.5</v>
      </c>
      <c r="AC38">
        <v>151.5</v>
      </c>
      <c r="AD38">
        <v>151.5</v>
      </c>
      <c r="AE38" s="12">
        <f t="shared" si="33"/>
        <v>151.5</v>
      </c>
      <c r="AG38">
        <v>151.69999999999999</v>
      </c>
      <c r="AH38">
        <v>151.69999999999999</v>
      </c>
      <c r="AI38">
        <v>151.69999999999999</v>
      </c>
      <c r="AJ38" s="12">
        <f t="shared" si="34"/>
        <v>151.69999999999999</v>
      </c>
    </row>
    <row r="39" spans="1:36" x14ac:dyDescent="0.2">
      <c r="B39" t="s">
        <v>37</v>
      </c>
      <c r="F39" s="12">
        <f t="shared" ref="F39" si="35">(F37/((F38/100)*(F38/100)))</f>
        <v>25.508056938792684</v>
      </c>
      <c r="K39" s="12">
        <f t="shared" ref="K39" si="36">(K37/((K38/100)*(K38/100)))</f>
        <v>25.461968760845046</v>
      </c>
      <c r="P39" s="12">
        <f t="shared" ref="P39" si="37">(P37/((P38/100)*(P38/100)))</f>
        <v>25.34365827027796</v>
      </c>
      <c r="U39" s="12">
        <f t="shared" ref="U39" si="38">(U37/((U38/100)*(U38/100)))</f>
        <v>25.356991144659027</v>
      </c>
      <c r="Z39" s="12">
        <f t="shared" ref="Z39" si="39">(Z37/((Z38/100)*(Z38/100)))</f>
        <v>25.390498892764846</v>
      </c>
      <c r="AE39" s="12">
        <f t="shared" ref="AE39" si="40">(AE37/((AE38/100)*(AE38/100)))</f>
        <v>25.923384417649686</v>
      </c>
      <c r="AJ39" s="12">
        <f t="shared" ref="AJ39" si="41">(AJ37/((AJ38/100)*(AJ38/100)))</f>
        <v>25.724713410614669</v>
      </c>
    </row>
    <row r="40" spans="1:36" x14ac:dyDescent="0.2">
      <c r="B40" t="s">
        <v>51</v>
      </c>
      <c r="C40">
        <v>109</v>
      </c>
      <c r="D40">
        <v>113</v>
      </c>
      <c r="E40">
        <v>109</v>
      </c>
      <c r="F40" s="11">
        <f t="shared" ref="F40:F43" si="42">AVERAGE(C40:E40)</f>
        <v>110.33333333333333</v>
      </c>
      <c r="H40">
        <v>109</v>
      </c>
      <c r="I40">
        <v>105</v>
      </c>
      <c r="J40">
        <v>107</v>
      </c>
      <c r="K40" s="11">
        <f t="shared" ref="K40:K43" si="43">AVERAGE(H40:J40)</f>
        <v>107</v>
      </c>
      <c r="M40">
        <v>110</v>
      </c>
      <c r="N40">
        <v>112</v>
      </c>
      <c r="O40">
        <v>106</v>
      </c>
      <c r="P40" s="11">
        <f t="shared" ref="P40:P43" si="44">AVERAGE(M40:O40)</f>
        <v>109.33333333333333</v>
      </c>
      <c r="R40">
        <v>111</v>
      </c>
      <c r="S40">
        <v>105</v>
      </c>
      <c r="T40">
        <v>110</v>
      </c>
      <c r="U40" s="11">
        <f t="shared" ref="U40:U43" si="45">AVERAGE(R40:T40)</f>
        <v>108.66666666666667</v>
      </c>
      <c r="W40">
        <v>112</v>
      </c>
      <c r="X40">
        <v>111</v>
      </c>
      <c r="Y40">
        <v>110</v>
      </c>
      <c r="Z40" s="11">
        <f t="shared" ref="Z40:Z43" si="46">AVERAGE(W40:Y40)</f>
        <v>111</v>
      </c>
      <c r="AB40">
        <v>111</v>
      </c>
      <c r="AC40">
        <v>108</v>
      </c>
      <c r="AD40">
        <v>104</v>
      </c>
      <c r="AE40" s="11">
        <f t="shared" ref="AE40:AE43" si="47">AVERAGE(AB40:AD40)</f>
        <v>107.66666666666667</v>
      </c>
      <c r="AG40">
        <v>116</v>
      </c>
      <c r="AH40">
        <v>113</v>
      </c>
      <c r="AI40">
        <v>110</v>
      </c>
      <c r="AJ40" s="11">
        <f t="shared" ref="AJ40:AJ43" si="48">AVERAGE(AG40:AI40)</f>
        <v>113</v>
      </c>
    </row>
    <row r="41" spans="1:36" x14ac:dyDescent="0.2">
      <c r="B41" t="s">
        <v>50</v>
      </c>
      <c r="C41">
        <v>76</v>
      </c>
      <c r="D41">
        <v>77</v>
      </c>
      <c r="E41">
        <v>74</v>
      </c>
      <c r="F41" s="11">
        <f t="shared" si="42"/>
        <v>75.666666666666671</v>
      </c>
      <c r="H41">
        <v>74</v>
      </c>
      <c r="I41">
        <v>72</v>
      </c>
      <c r="J41">
        <v>73</v>
      </c>
      <c r="K41" s="11">
        <f t="shared" si="43"/>
        <v>73</v>
      </c>
      <c r="M41">
        <v>77</v>
      </c>
      <c r="N41">
        <v>77</v>
      </c>
      <c r="O41">
        <v>72</v>
      </c>
      <c r="P41" s="11">
        <f t="shared" si="44"/>
        <v>75.333333333333329</v>
      </c>
      <c r="R41">
        <v>75</v>
      </c>
      <c r="S41">
        <v>73</v>
      </c>
      <c r="T41">
        <v>72</v>
      </c>
      <c r="U41" s="11">
        <f t="shared" si="45"/>
        <v>73.333333333333329</v>
      </c>
      <c r="W41">
        <v>76</v>
      </c>
      <c r="X41">
        <v>78</v>
      </c>
      <c r="Y41">
        <v>77</v>
      </c>
      <c r="Z41" s="11">
        <f t="shared" si="46"/>
        <v>77</v>
      </c>
      <c r="AB41">
        <v>75</v>
      </c>
      <c r="AC41">
        <v>73</v>
      </c>
      <c r="AD41">
        <v>70</v>
      </c>
      <c r="AE41" s="11">
        <f t="shared" si="47"/>
        <v>72.666666666666671</v>
      </c>
      <c r="AG41">
        <v>79</v>
      </c>
      <c r="AH41">
        <v>75</v>
      </c>
      <c r="AI41">
        <v>75</v>
      </c>
      <c r="AJ41" s="11">
        <f t="shared" si="48"/>
        <v>76.333333333333329</v>
      </c>
    </row>
    <row r="42" spans="1:36" x14ac:dyDescent="0.2">
      <c r="A42">
        <v>210</v>
      </c>
      <c r="B42" t="s">
        <v>35</v>
      </c>
      <c r="C42">
        <v>76.7</v>
      </c>
      <c r="D42">
        <v>76.7</v>
      </c>
      <c r="E42">
        <v>76.7</v>
      </c>
      <c r="F42" s="12">
        <f t="shared" si="42"/>
        <v>76.7</v>
      </c>
      <c r="H42">
        <v>77.400000000000006</v>
      </c>
      <c r="I42">
        <v>77.400000000000006</v>
      </c>
      <c r="J42">
        <v>77.400000000000006</v>
      </c>
      <c r="K42" s="12">
        <f t="shared" si="43"/>
        <v>77.400000000000006</v>
      </c>
      <c r="M42">
        <v>75.8</v>
      </c>
      <c r="N42">
        <v>75.8</v>
      </c>
      <c r="O42">
        <v>75.8</v>
      </c>
      <c r="P42" s="12">
        <f t="shared" si="44"/>
        <v>75.8</v>
      </c>
      <c r="R42">
        <v>77.7</v>
      </c>
      <c r="S42">
        <v>77.7</v>
      </c>
      <c r="T42">
        <v>77.7</v>
      </c>
      <c r="U42" s="12">
        <f t="shared" si="45"/>
        <v>77.7</v>
      </c>
      <c r="W42">
        <v>77.099999999999994</v>
      </c>
      <c r="X42">
        <v>77.099999999999994</v>
      </c>
      <c r="Y42">
        <v>77.099999999999994</v>
      </c>
      <c r="Z42" s="12">
        <f t="shared" si="46"/>
        <v>77.099999999999994</v>
      </c>
      <c r="AB42">
        <v>75.8</v>
      </c>
      <c r="AC42">
        <v>75.8</v>
      </c>
      <c r="AD42">
        <v>75.8</v>
      </c>
      <c r="AE42" s="12">
        <f t="shared" si="47"/>
        <v>75.8</v>
      </c>
      <c r="AG42">
        <v>74.2</v>
      </c>
      <c r="AH42">
        <v>74.3</v>
      </c>
      <c r="AI42">
        <v>74.2</v>
      </c>
      <c r="AJ42" s="12">
        <f t="shared" si="48"/>
        <v>74.233333333333334</v>
      </c>
    </row>
    <row r="43" spans="1:36" x14ac:dyDescent="0.2">
      <c r="B43" t="s">
        <v>36</v>
      </c>
      <c r="C43">
        <v>154.19999999999999</v>
      </c>
      <c r="D43">
        <v>154.19999999999999</v>
      </c>
      <c r="E43">
        <v>154.19999999999999</v>
      </c>
      <c r="F43" s="12">
        <f t="shared" si="42"/>
        <v>154.19999999999999</v>
      </c>
      <c r="H43">
        <v>155.19999999999999</v>
      </c>
      <c r="I43">
        <v>155.30000000000001</v>
      </c>
      <c r="J43">
        <v>155.30000000000001</v>
      </c>
      <c r="K43" s="12">
        <f t="shared" si="43"/>
        <v>155.26666666666668</v>
      </c>
      <c r="M43">
        <v>153.9</v>
      </c>
      <c r="N43">
        <v>153.9</v>
      </c>
      <c r="O43">
        <v>153.9</v>
      </c>
      <c r="P43" s="12">
        <f t="shared" si="44"/>
        <v>153.9</v>
      </c>
      <c r="R43">
        <v>154</v>
      </c>
      <c r="S43">
        <v>154.1</v>
      </c>
      <c r="T43">
        <v>154</v>
      </c>
      <c r="U43" s="12">
        <f t="shared" si="45"/>
        <v>154.03333333333333</v>
      </c>
      <c r="W43">
        <v>153.9</v>
      </c>
      <c r="X43">
        <v>153.9</v>
      </c>
      <c r="Y43">
        <v>153.9</v>
      </c>
      <c r="Z43" s="12">
        <f t="shared" si="46"/>
        <v>153.9</v>
      </c>
      <c r="AB43">
        <v>154.1</v>
      </c>
      <c r="AE43" s="12">
        <f t="shared" si="47"/>
        <v>154.1</v>
      </c>
      <c r="AG43">
        <v>153.9</v>
      </c>
      <c r="AJ43" s="12">
        <f t="shared" si="48"/>
        <v>153.9</v>
      </c>
    </row>
    <row r="44" spans="1:36" x14ac:dyDescent="0.2">
      <c r="B44" t="s">
        <v>37</v>
      </c>
      <c r="F44" s="12">
        <f t="shared" ref="F44" si="49">(F42/((F43/100)*(F43/100)))</f>
        <v>32.257196256651213</v>
      </c>
      <c r="K44" s="12">
        <f t="shared" ref="K44" si="50">(K42/((K43/100)*(K43/100)))</f>
        <v>32.105874351821754</v>
      </c>
      <c r="P44" s="12">
        <f t="shared" ref="P44" si="51">(P42/((P43/100)*(P43/100)))</f>
        <v>32.003093913881273</v>
      </c>
      <c r="U44" s="12">
        <f t="shared" ref="U44" si="52">(U42/((U43/100)*(U43/100)))</f>
        <v>32.748513473650704</v>
      </c>
      <c r="Z44" s="12">
        <f t="shared" ref="Z44" si="53">(Z42/((Z43/100)*(Z43/100)))</f>
        <v>32.55195964063649</v>
      </c>
      <c r="AE44" s="12">
        <f t="shared" ref="AE44" si="54">(AE42/((AE43/100)*(AE43/100)))</f>
        <v>31.920076844005575</v>
      </c>
      <c r="AJ44" s="12">
        <f t="shared" ref="AJ44" si="55">(AJ42/((AJ43/100)*(AJ43/100)))</f>
        <v>31.34164034574037</v>
      </c>
    </row>
    <row r="45" spans="1:36" x14ac:dyDescent="0.2">
      <c r="B45" t="s">
        <v>51</v>
      </c>
      <c r="C45">
        <v>117</v>
      </c>
      <c r="D45">
        <v>138</v>
      </c>
      <c r="E45">
        <v>128</v>
      </c>
      <c r="F45" s="11">
        <f t="shared" ref="F45:F101" si="56">AVERAGE(C45:E45)</f>
        <v>127.66666666666667</v>
      </c>
      <c r="H45">
        <v>117</v>
      </c>
      <c r="I45">
        <v>118</v>
      </c>
      <c r="J45">
        <v>128</v>
      </c>
      <c r="K45" s="11">
        <f t="shared" ref="K45:K101" si="57">AVERAGE(H45:J45)</f>
        <v>121</v>
      </c>
      <c r="M45">
        <v>123</v>
      </c>
      <c r="N45">
        <v>110</v>
      </c>
      <c r="O45">
        <v>119</v>
      </c>
      <c r="P45" s="11">
        <f t="shared" ref="P45:P101" si="58">AVERAGE(M45:O45)</f>
        <v>117.33333333333333</v>
      </c>
      <c r="R45">
        <v>116</v>
      </c>
      <c r="S45">
        <v>113</v>
      </c>
      <c r="T45">
        <v>118</v>
      </c>
      <c r="U45" s="11">
        <f t="shared" ref="U45:U101" si="59">AVERAGE(R45:T45)</f>
        <v>115.66666666666667</v>
      </c>
      <c r="W45">
        <v>129</v>
      </c>
      <c r="X45">
        <v>121</v>
      </c>
      <c r="Y45">
        <v>125</v>
      </c>
      <c r="Z45" s="11">
        <f t="shared" ref="Z45:Z101" si="60">AVERAGE(W45:Y45)</f>
        <v>125</v>
      </c>
      <c r="AB45">
        <v>118</v>
      </c>
      <c r="AC45">
        <v>115</v>
      </c>
      <c r="AD45">
        <v>112</v>
      </c>
      <c r="AE45" s="11">
        <f t="shared" ref="AE45:AE101" si="61">AVERAGE(AB45:AD45)</f>
        <v>115</v>
      </c>
      <c r="AG45">
        <v>120</v>
      </c>
      <c r="AH45">
        <v>126</v>
      </c>
      <c r="AI45">
        <v>128</v>
      </c>
      <c r="AJ45" s="11">
        <f t="shared" ref="AJ45:AJ101" si="62">AVERAGE(AG45:AI45)</f>
        <v>124.66666666666667</v>
      </c>
    </row>
    <row r="46" spans="1:36" x14ac:dyDescent="0.2">
      <c r="B46" t="s">
        <v>50</v>
      </c>
      <c r="C46">
        <v>83</v>
      </c>
      <c r="D46">
        <v>81</v>
      </c>
      <c r="E46">
        <v>84</v>
      </c>
      <c r="F46" s="11">
        <f t="shared" si="56"/>
        <v>82.666666666666671</v>
      </c>
      <c r="H46">
        <v>82</v>
      </c>
      <c r="I46">
        <v>81</v>
      </c>
      <c r="J46">
        <v>88</v>
      </c>
      <c r="K46" s="11">
        <f t="shared" si="57"/>
        <v>83.666666666666671</v>
      </c>
      <c r="M46">
        <v>80</v>
      </c>
      <c r="N46">
        <v>76</v>
      </c>
      <c r="O46">
        <v>81</v>
      </c>
      <c r="P46" s="11">
        <f t="shared" si="58"/>
        <v>79</v>
      </c>
      <c r="R46">
        <v>81</v>
      </c>
      <c r="S46">
        <v>78</v>
      </c>
      <c r="T46">
        <v>78</v>
      </c>
      <c r="U46" s="11">
        <f t="shared" si="59"/>
        <v>79</v>
      </c>
      <c r="W46">
        <v>87</v>
      </c>
      <c r="X46">
        <v>83</v>
      </c>
      <c r="Y46">
        <v>83</v>
      </c>
      <c r="Z46" s="11">
        <f t="shared" si="60"/>
        <v>84.333333333333329</v>
      </c>
      <c r="AB46">
        <v>80</v>
      </c>
      <c r="AC46">
        <v>75</v>
      </c>
      <c r="AD46">
        <v>75</v>
      </c>
      <c r="AE46" s="11">
        <f t="shared" si="61"/>
        <v>76.666666666666671</v>
      </c>
      <c r="AG46">
        <v>83</v>
      </c>
      <c r="AH46">
        <v>83</v>
      </c>
      <c r="AI46">
        <v>85</v>
      </c>
      <c r="AJ46" s="11">
        <f t="shared" si="62"/>
        <v>83.666666666666671</v>
      </c>
    </row>
    <row r="47" spans="1:36" x14ac:dyDescent="0.2">
      <c r="A47">
        <v>211</v>
      </c>
      <c r="B47" t="s">
        <v>35</v>
      </c>
      <c r="C47">
        <v>64</v>
      </c>
      <c r="D47">
        <v>64.099999999999994</v>
      </c>
      <c r="E47">
        <v>64.099999999999994</v>
      </c>
      <c r="F47" s="12">
        <f t="shared" si="56"/>
        <v>64.066666666666663</v>
      </c>
      <c r="H47">
        <v>65.099999999999994</v>
      </c>
      <c r="I47">
        <v>65.099999999999994</v>
      </c>
      <c r="J47">
        <v>65.099999999999994</v>
      </c>
      <c r="K47" s="12">
        <f t="shared" si="57"/>
        <v>65.099999999999994</v>
      </c>
      <c r="M47">
        <v>65.8</v>
      </c>
      <c r="N47">
        <v>65.8</v>
      </c>
      <c r="O47">
        <v>65.8</v>
      </c>
      <c r="P47" s="12">
        <f t="shared" si="58"/>
        <v>65.8</v>
      </c>
      <c r="R47">
        <v>65.3</v>
      </c>
      <c r="S47">
        <v>65.400000000000006</v>
      </c>
      <c r="T47">
        <v>65.400000000000006</v>
      </c>
      <c r="U47" s="12">
        <f t="shared" si="59"/>
        <v>65.36666666666666</v>
      </c>
      <c r="W47">
        <v>65.2</v>
      </c>
      <c r="X47">
        <v>65.2</v>
      </c>
      <c r="Y47">
        <v>65.2</v>
      </c>
      <c r="Z47" s="12">
        <f t="shared" si="60"/>
        <v>65.2</v>
      </c>
      <c r="AB47">
        <v>66.400000000000006</v>
      </c>
      <c r="AC47">
        <v>66.400000000000006</v>
      </c>
      <c r="AD47">
        <v>66.5</v>
      </c>
      <c r="AE47" s="12">
        <f t="shared" si="61"/>
        <v>66.433333333333337</v>
      </c>
      <c r="AG47">
        <v>65.2</v>
      </c>
      <c r="AH47">
        <v>65.2</v>
      </c>
      <c r="AI47">
        <v>65.2</v>
      </c>
      <c r="AJ47" s="12">
        <f t="shared" si="62"/>
        <v>65.2</v>
      </c>
    </row>
    <row r="48" spans="1:36" x14ac:dyDescent="0.2">
      <c r="B48" t="s">
        <v>36</v>
      </c>
      <c r="C48">
        <v>160.5</v>
      </c>
      <c r="D48">
        <v>160.5</v>
      </c>
      <c r="E48">
        <v>160.5</v>
      </c>
      <c r="F48" s="12">
        <f t="shared" si="56"/>
        <v>160.5</v>
      </c>
      <c r="H48">
        <v>161.1</v>
      </c>
      <c r="K48" s="12">
        <f t="shared" si="57"/>
        <v>161.1</v>
      </c>
      <c r="M48">
        <v>160.69999999999999</v>
      </c>
      <c r="N48">
        <v>160.69999999999999</v>
      </c>
      <c r="O48">
        <v>160.69999999999999</v>
      </c>
      <c r="P48" s="12">
        <f t="shared" si="58"/>
        <v>160.69999999999999</v>
      </c>
      <c r="R48">
        <v>161</v>
      </c>
      <c r="S48">
        <v>161</v>
      </c>
      <c r="T48">
        <v>160.80000000000001</v>
      </c>
      <c r="U48" s="12">
        <f t="shared" si="59"/>
        <v>160.93333333333334</v>
      </c>
      <c r="W48">
        <v>160.4</v>
      </c>
      <c r="X48">
        <v>160.4</v>
      </c>
      <c r="Y48">
        <v>160.4</v>
      </c>
      <c r="Z48" s="12">
        <f t="shared" si="60"/>
        <v>160.4</v>
      </c>
      <c r="AB48">
        <v>161.19999999999999</v>
      </c>
      <c r="AC48">
        <v>161.19999999999999</v>
      </c>
      <c r="AD48">
        <v>161.30000000000001</v>
      </c>
      <c r="AE48" s="12">
        <f t="shared" si="61"/>
        <v>161.23333333333332</v>
      </c>
      <c r="AG48">
        <v>161</v>
      </c>
      <c r="AH48">
        <v>161</v>
      </c>
      <c r="AI48">
        <v>161</v>
      </c>
      <c r="AJ48" s="12">
        <f t="shared" si="62"/>
        <v>161</v>
      </c>
    </row>
    <row r="49" spans="1:36" x14ac:dyDescent="0.2">
      <c r="B49" t="s">
        <v>37</v>
      </c>
      <c r="F49" s="12">
        <f t="shared" ref="F49:F99" si="63">(F47/((F48/100)*(F48/100)))</f>
        <v>24.870359048016486</v>
      </c>
      <c r="K49" s="12">
        <f t="shared" ref="K49:K99" si="64">(K47/((K48/100)*(K48/100)))</f>
        <v>25.083602375197518</v>
      </c>
      <c r="P49" s="12">
        <f t="shared" ref="P49:P99" si="65">(P47/((P48/100)*(P48/100)))</f>
        <v>25.479690015175517</v>
      </c>
      <c r="U49" s="12">
        <f t="shared" ref="U49:U99" si="66">(U47/((U48/100)*(U48/100)))</f>
        <v>25.238545655726845</v>
      </c>
      <c r="Z49" s="12">
        <f t="shared" ref="Z49:Z99" si="67">(Z47/((Z48/100)*(Z48/100)))</f>
        <v>25.341882202225108</v>
      </c>
      <c r="AE49" s="12">
        <f t="shared" ref="AE49:AE99" si="68">(AE47/((AE48/100)*(AE48/100)))</f>
        <v>25.555029030111218</v>
      </c>
      <c r="AJ49" s="12">
        <f t="shared" ref="AJ49:AJ99" si="69">(AJ47/((AJ48/100)*(AJ48/100)))</f>
        <v>25.153350565178812</v>
      </c>
    </row>
    <row r="50" spans="1:36" x14ac:dyDescent="0.2">
      <c r="B50" t="s">
        <v>51</v>
      </c>
      <c r="C50">
        <v>111</v>
      </c>
      <c r="D50">
        <v>111</v>
      </c>
      <c r="E50">
        <v>115</v>
      </c>
      <c r="F50" s="11">
        <f t="shared" si="56"/>
        <v>112.33333333333333</v>
      </c>
      <c r="H50">
        <v>116</v>
      </c>
      <c r="I50">
        <v>111</v>
      </c>
      <c r="J50">
        <v>110</v>
      </c>
      <c r="K50" s="11">
        <f t="shared" si="57"/>
        <v>112.33333333333333</v>
      </c>
      <c r="M50">
        <v>108</v>
      </c>
      <c r="N50">
        <v>109</v>
      </c>
      <c r="O50">
        <v>109</v>
      </c>
      <c r="P50" s="11">
        <f t="shared" si="58"/>
        <v>108.66666666666667</v>
      </c>
      <c r="R50">
        <v>113</v>
      </c>
      <c r="S50">
        <v>111</v>
      </c>
      <c r="T50">
        <v>112</v>
      </c>
      <c r="U50" s="11">
        <f t="shared" si="59"/>
        <v>112</v>
      </c>
      <c r="W50">
        <v>113</v>
      </c>
      <c r="X50">
        <v>118</v>
      </c>
      <c r="Y50">
        <v>109</v>
      </c>
      <c r="Z50" s="11">
        <f t="shared" si="60"/>
        <v>113.33333333333333</v>
      </c>
      <c r="AB50">
        <v>109</v>
      </c>
      <c r="AC50">
        <v>104</v>
      </c>
      <c r="AD50">
        <v>102</v>
      </c>
      <c r="AE50" s="11">
        <f t="shared" si="61"/>
        <v>105</v>
      </c>
      <c r="AG50">
        <v>111</v>
      </c>
      <c r="AH50">
        <v>108</v>
      </c>
      <c r="AI50">
        <v>106</v>
      </c>
      <c r="AJ50" s="11">
        <f t="shared" si="62"/>
        <v>108.33333333333333</v>
      </c>
    </row>
    <row r="51" spans="1:36" x14ac:dyDescent="0.2">
      <c r="B51" t="s">
        <v>50</v>
      </c>
      <c r="C51">
        <v>71</v>
      </c>
      <c r="D51">
        <v>72</v>
      </c>
      <c r="E51">
        <v>79</v>
      </c>
      <c r="F51" s="11">
        <f t="shared" si="56"/>
        <v>74</v>
      </c>
      <c r="H51">
        <v>77</v>
      </c>
      <c r="I51">
        <v>73</v>
      </c>
      <c r="J51">
        <v>74</v>
      </c>
      <c r="K51" s="11">
        <f t="shared" si="57"/>
        <v>74.666666666666671</v>
      </c>
      <c r="M51">
        <v>70</v>
      </c>
      <c r="N51">
        <v>74</v>
      </c>
      <c r="O51">
        <v>71</v>
      </c>
      <c r="P51" s="11">
        <f t="shared" si="58"/>
        <v>71.666666666666671</v>
      </c>
      <c r="R51">
        <v>74</v>
      </c>
      <c r="S51">
        <v>73</v>
      </c>
      <c r="T51">
        <v>71</v>
      </c>
      <c r="U51" s="11">
        <f t="shared" si="59"/>
        <v>72.666666666666671</v>
      </c>
      <c r="W51">
        <v>72</v>
      </c>
      <c r="X51">
        <v>74</v>
      </c>
      <c r="Y51">
        <v>72</v>
      </c>
      <c r="Z51" s="11">
        <f t="shared" si="60"/>
        <v>72.666666666666671</v>
      </c>
      <c r="AB51">
        <v>76</v>
      </c>
      <c r="AC51">
        <v>69</v>
      </c>
      <c r="AD51">
        <v>71</v>
      </c>
      <c r="AE51" s="11">
        <f t="shared" si="61"/>
        <v>72</v>
      </c>
      <c r="AG51">
        <v>74</v>
      </c>
      <c r="AH51">
        <v>72</v>
      </c>
      <c r="AI51">
        <v>71</v>
      </c>
      <c r="AJ51" s="11">
        <f t="shared" si="62"/>
        <v>72.333333333333329</v>
      </c>
    </row>
    <row r="52" spans="1:36" x14ac:dyDescent="0.2">
      <c r="A52">
        <v>213</v>
      </c>
      <c r="B52" t="s">
        <v>35</v>
      </c>
      <c r="C52">
        <v>86.4</v>
      </c>
      <c r="D52">
        <v>86.4</v>
      </c>
      <c r="E52">
        <v>86.5</v>
      </c>
      <c r="F52" s="12">
        <f t="shared" si="56"/>
        <v>86.433333333333337</v>
      </c>
      <c r="H52">
        <v>85.8</v>
      </c>
      <c r="I52">
        <v>85.8</v>
      </c>
      <c r="J52">
        <v>85.8</v>
      </c>
      <c r="K52" s="12">
        <f t="shared" si="57"/>
        <v>85.8</v>
      </c>
      <c r="M52">
        <v>84.5</v>
      </c>
      <c r="N52">
        <v>84.5</v>
      </c>
      <c r="O52">
        <v>84.5</v>
      </c>
      <c r="P52" s="12">
        <f t="shared" si="58"/>
        <v>84.5</v>
      </c>
      <c r="R52">
        <v>82.9</v>
      </c>
      <c r="S52">
        <v>82.9</v>
      </c>
      <c r="T52">
        <v>82.9</v>
      </c>
      <c r="U52" s="12">
        <f t="shared" si="59"/>
        <v>82.9</v>
      </c>
      <c r="W52">
        <v>81.099999999999994</v>
      </c>
      <c r="X52">
        <v>81.099999999999994</v>
      </c>
      <c r="Y52">
        <v>81.099999999999994</v>
      </c>
      <c r="Z52" s="12">
        <f t="shared" si="60"/>
        <v>81.099999999999994</v>
      </c>
      <c r="AB52">
        <v>81.099999999999994</v>
      </c>
      <c r="AC52">
        <v>81.099999999999994</v>
      </c>
      <c r="AD52">
        <v>81.099999999999994</v>
      </c>
      <c r="AE52" s="12">
        <f t="shared" si="61"/>
        <v>81.099999999999994</v>
      </c>
      <c r="AG52">
        <v>81.5</v>
      </c>
      <c r="AH52">
        <v>81.5</v>
      </c>
      <c r="AI52">
        <v>81.5</v>
      </c>
      <c r="AJ52" s="12">
        <f t="shared" si="62"/>
        <v>81.5</v>
      </c>
    </row>
    <row r="53" spans="1:36" x14ac:dyDescent="0.2">
      <c r="B53" t="s">
        <v>36</v>
      </c>
      <c r="C53">
        <v>188.2</v>
      </c>
      <c r="D53">
        <v>188.1</v>
      </c>
      <c r="E53">
        <v>188.3</v>
      </c>
      <c r="F53" s="12">
        <f t="shared" si="56"/>
        <v>188.19999999999996</v>
      </c>
      <c r="H53">
        <v>188.1</v>
      </c>
      <c r="K53" s="12">
        <f t="shared" si="57"/>
        <v>188.1</v>
      </c>
      <c r="M53">
        <v>188.1</v>
      </c>
      <c r="P53" s="12">
        <f t="shared" si="58"/>
        <v>188.1</v>
      </c>
      <c r="R53">
        <v>188.1</v>
      </c>
      <c r="S53">
        <v>188.2</v>
      </c>
      <c r="T53">
        <v>188.1</v>
      </c>
      <c r="U53" s="12">
        <f t="shared" si="59"/>
        <v>188.13333333333333</v>
      </c>
      <c r="W53">
        <v>186.3</v>
      </c>
      <c r="Z53" s="12">
        <f t="shared" si="60"/>
        <v>186.3</v>
      </c>
      <c r="AB53">
        <v>187.9</v>
      </c>
      <c r="AE53" s="12">
        <f t="shared" si="61"/>
        <v>187.9</v>
      </c>
      <c r="AG53">
        <v>188.2</v>
      </c>
      <c r="AJ53" s="12">
        <f t="shared" si="62"/>
        <v>188.2</v>
      </c>
    </row>
    <row r="54" spans="1:36" x14ac:dyDescent="0.2">
      <c r="B54" t="s">
        <v>37</v>
      </c>
      <c r="F54" s="12">
        <f t="shared" si="63"/>
        <v>24.402932793965473</v>
      </c>
      <c r="K54" s="12">
        <f t="shared" si="64"/>
        <v>24.249885745730619</v>
      </c>
      <c r="P54" s="12">
        <f t="shared" si="65"/>
        <v>23.882463234431672</v>
      </c>
      <c r="U54" s="12">
        <f t="shared" si="66"/>
        <v>23.421948937200423</v>
      </c>
      <c r="Z54" s="12">
        <f t="shared" si="67"/>
        <v>23.366579567813353</v>
      </c>
      <c r="AE54" s="12">
        <f t="shared" si="68"/>
        <v>22.970333149136373</v>
      </c>
      <c r="AJ54" s="12">
        <f t="shared" si="69"/>
        <v>23.010092819608783</v>
      </c>
    </row>
    <row r="55" spans="1:36" x14ac:dyDescent="0.2">
      <c r="B55" t="s">
        <v>51</v>
      </c>
      <c r="C55">
        <v>110</v>
      </c>
      <c r="D55">
        <v>108</v>
      </c>
      <c r="E55">
        <v>103</v>
      </c>
      <c r="F55" s="11">
        <f t="shared" si="56"/>
        <v>107</v>
      </c>
      <c r="H55">
        <v>100</v>
      </c>
      <c r="I55">
        <v>105</v>
      </c>
      <c r="J55">
        <v>102</v>
      </c>
      <c r="K55" s="11">
        <f t="shared" si="57"/>
        <v>102.33333333333333</v>
      </c>
      <c r="M55">
        <v>105</v>
      </c>
      <c r="N55">
        <v>107</v>
      </c>
      <c r="O55">
        <v>110</v>
      </c>
      <c r="P55" s="11">
        <f t="shared" si="58"/>
        <v>107.33333333333333</v>
      </c>
      <c r="R55">
        <v>113</v>
      </c>
      <c r="S55">
        <v>105</v>
      </c>
      <c r="T55">
        <v>102</v>
      </c>
      <c r="U55" s="11">
        <f t="shared" si="59"/>
        <v>106.66666666666667</v>
      </c>
      <c r="W55">
        <v>120</v>
      </c>
      <c r="X55">
        <v>123</v>
      </c>
      <c r="Y55">
        <v>126</v>
      </c>
      <c r="Z55" s="11">
        <f t="shared" si="60"/>
        <v>123</v>
      </c>
      <c r="AB55">
        <v>117</v>
      </c>
      <c r="AC55">
        <v>113</v>
      </c>
      <c r="AD55">
        <v>112</v>
      </c>
      <c r="AE55" s="11">
        <f t="shared" si="61"/>
        <v>114</v>
      </c>
      <c r="AG55">
        <v>116</v>
      </c>
      <c r="AH55">
        <v>118</v>
      </c>
      <c r="AI55">
        <v>121</v>
      </c>
      <c r="AJ55" s="11">
        <f t="shared" si="62"/>
        <v>118.33333333333333</v>
      </c>
    </row>
    <row r="56" spans="1:36" x14ac:dyDescent="0.2">
      <c r="B56" t="s">
        <v>50</v>
      </c>
      <c r="C56">
        <v>71</v>
      </c>
      <c r="D56">
        <v>70</v>
      </c>
      <c r="E56">
        <v>67</v>
      </c>
      <c r="F56" s="11">
        <f t="shared" si="56"/>
        <v>69.333333333333329</v>
      </c>
      <c r="H56">
        <v>62</v>
      </c>
      <c r="I56">
        <v>69</v>
      </c>
      <c r="J56">
        <v>68</v>
      </c>
      <c r="K56" s="11">
        <f t="shared" si="57"/>
        <v>66.333333333333329</v>
      </c>
      <c r="M56">
        <v>69</v>
      </c>
      <c r="N56">
        <v>74</v>
      </c>
      <c r="O56">
        <v>68</v>
      </c>
      <c r="P56" s="11">
        <f t="shared" si="58"/>
        <v>70.333333333333329</v>
      </c>
      <c r="R56">
        <v>70</v>
      </c>
      <c r="S56">
        <v>69</v>
      </c>
      <c r="T56">
        <v>65</v>
      </c>
      <c r="U56" s="11">
        <f t="shared" si="59"/>
        <v>68</v>
      </c>
      <c r="W56">
        <v>76</v>
      </c>
      <c r="X56">
        <v>81</v>
      </c>
      <c r="Y56">
        <v>76</v>
      </c>
      <c r="Z56" s="11">
        <f t="shared" si="60"/>
        <v>77.666666666666671</v>
      </c>
      <c r="AB56">
        <v>78</v>
      </c>
      <c r="AC56">
        <v>75</v>
      </c>
      <c r="AD56">
        <v>74</v>
      </c>
      <c r="AE56" s="11">
        <f t="shared" si="61"/>
        <v>75.666666666666671</v>
      </c>
      <c r="AG56">
        <v>77</v>
      </c>
      <c r="AH56">
        <v>72</v>
      </c>
      <c r="AI56">
        <v>80</v>
      </c>
      <c r="AJ56" s="11">
        <f t="shared" si="62"/>
        <v>76.333333333333329</v>
      </c>
    </row>
    <row r="57" spans="1:36" x14ac:dyDescent="0.2">
      <c r="A57">
        <v>214</v>
      </c>
      <c r="B57" t="s">
        <v>35</v>
      </c>
      <c r="C57">
        <v>75.8</v>
      </c>
      <c r="D57">
        <v>75.8</v>
      </c>
      <c r="E57">
        <v>75.8</v>
      </c>
      <c r="F57" s="12">
        <f t="shared" si="56"/>
        <v>75.8</v>
      </c>
      <c r="H57">
        <v>74</v>
      </c>
      <c r="I57">
        <v>74</v>
      </c>
      <c r="J57">
        <v>74</v>
      </c>
      <c r="K57" s="12">
        <f t="shared" si="57"/>
        <v>74</v>
      </c>
      <c r="M57">
        <v>75.7</v>
      </c>
      <c r="N57">
        <v>75.7</v>
      </c>
      <c r="O57">
        <v>75.7</v>
      </c>
      <c r="P57" s="12">
        <f t="shared" si="58"/>
        <v>75.7</v>
      </c>
      <c r="R57">
        <v>75.8</v>
      </c>
      <c r="S57">
        <v>75.8</v>
      </c>
      <c r="T57">
        <v>75.900000000000006</v>
      </c>
      <c r="U57" s="12">
        <f t="shared" si="59"/>
        <v>75.833333333333329</v>
      </c>
      <c r="W57">
        <v>75.8</v>
      </c>
      <c r="X57">
        <v>75.8</v>
      </c>
      <c r="Y57">
        <v>75.7</v>
      </c>
      <c r="Z57" s="12">
        <f t="shared" si="60"/>
        <v>75.766666666666666</v>
      </c>
      <c r="AB57">
        <v>77.2</v>
      </c>
      <c r="AC57">
        <v>77.2</v>
      </c>
      <c r="AD57">
        <v>77.2</v>
      </c>
      <c r="AE57" s="12">
        <f t="shared" si="61"/>
        <v>77.2</v>
      </c>
      <c r="AG57">
        <v>74.900000000000006</v>
      </c>
      <c r="AH57">
        <v>74.900000000000006</v>
      </c>
      <c r="AI57">
        <v>74.900000000000006</v>
      </c>
      <c r="AJ57" s="12">
        <f t="shared" si="62"/>
        <v>74.900000000000006</v>
      </c>
    </row>
    <row r="58" spans="1:36" x14ac:dyDescent="0.2">
      <c r="B58" t="s">
        <v>36</v>
      </c>
      <c r="C58">
        <v>165.1</v>
      </c>
      <c r="D58">
        <v>165.1</v>
      </c>
      <c r="E58">
        <v>165.1</v>
      </c>
      <c r="F58" s="12">
        <f t="shared" si="56"/>
        <v>165.1</v>
      </c>
      <c r="H58">
        <v>165.4</v>
      </c>
      <c r="K58" s="12">
        <f t="shared" si="57"/>
        <v>165.4</v>
      </c>
      <c r="M58">
        <v>164.5</v>
      </c>
      <c r="P58" s="12">
        <f t="shared" si="58"/>
        <v>164.5</v>
      </c>
      <c r="R58">
        <v>165.6</v>
      </c>
      <c r="U58" s="12">
        <f t="shared" si="59"/>
        <v>165.6</v>
      </c>
      <c r="W58">
        <v>165</v>
      </c>
      <c r="X58">
        <v>164.9</v>
      </c>
      <c r="Y58">
        <v>165</v>
      </c>
      <c r="Z58" s="12">
        <f t="shared" si="60"/>
        <v>164.96666666666667</v>
      </c>
      <c r="AB58">
        <v>164.5</v>
      </c>
      <c r="AC58">
        <v>164.5</v>
      </c>
      <c r="AD58">
        <v>164.5</v>
      </c>
      <c r="AE58" s="12">
        <f t="shared" si="61"/>
        <v>164.5</v>
      </c>
      <c r="AG58">
        <v>166</v>
      </c>
      <c r="AH58">
        <v>166</v>
      </c>
      <c r="AI58">
        <v>166</v>
      </c>
      <c r="AJ58" s="12">
        <f t="shared" si="62"/>
        <v>166</v>
      </c>
    </row>
    <row r="59" spans="1:36" x14ac:dyDescent="0.2">
      <c r="B59" t="s">
        <v>37</v>
      </c>
      <c r="F59" s="12">
        <f t="shared" si="63"/>
        <v>27.808339640347917</v>
      </c>
      <c r="K59" s="12">
        <f t="shared" si="64"/>
        <v>27.049591404955773</v>
      </c>
      <c r="P59" s="12">
        <f t="shared" si="65"/>
        <v>27.974612207943387</v>
      </c>
      <c r="U59" s="12">
        <f t="shared" si="66"/>
        <v>27.652823480905816</v>
      </c>
      <c r="Z59" s="12">
        <f t="shared" si="67"/>
        <v>27.841061061665112</v>
      </c>
      <c r="AE59" s="12">
        <f t="shared" si="68"/>
        <v>28.528930811799597</v>
      </c>
      <c r="AJ59" s="12">
        <f t="shared" si="69"/>
        <v>27.181013209464368</v>
      </c>
    </row>
    <row r="60" spans="1:36" x14ac:dyDescent="0.2">
      <c r="B60" t="s">
        <v>51</v>
      </c>
      <c r="C60">
        <v>125</v>
      </c>
      <c r="D60">
        <v>118</v>
      </c>
      <c r="E60">
        <v>121</v>
      </c>
      <c r="F60" s="11">
        <f t="shared" si="56"/>
        <v>121.33333333333333</v>
      </c>
      <c r="H60">
        <v>121</v>
      </c>
      <c r="I60">
        <v>114</v>
      </c>
      <c r="J60">
        <v>114</v>
      </c>
      <c r="K60" s="11">
        <f t="shared" si="57"/>
        <v>116.33333333333333</v>
      </c>
      <c r="M60">
        <v>128</v>
      </c>
      <c r="N60">
        <v>131</v>
      </c>
      <c r="O60">
        <v>125</v>
      </c>
      <c r="P60" s="11">
        <f t="shared" si="58"/>
        <v>128</v>
      </c>
      <c r="R60">
        <v>112</v>
      </c>
      <c r="S60">
        <v>115</v>
      </c>
      <c r="T60">
        <v>111</v>
      </c>
      <c r="U60" s="11">
        <f t="shared" si="59"/>
        <v>112.66666666666667</v>
      </c>
      <c r="W60">
        <v>111</v>
      </c>
      <c r="X60">
        <v>112</v>
      </c>
      <c r="Y60">
        <v>112</v>
      </c>
      <c r="Z60" s="11">
        <f t="shared" si="60"/>
        <v>111.66666666666667</v>
      </c>
      <c r="AB60">
        <v>133</v>
      </c>
      <c r="AC60">
        <v>127</v>
      </c>
      <c r="AD60">
        <v>123</v>
      </c>
      <c r="AE60" s="11">
        <f t="shared" si="61"/>
        <v>127.66666666666667</v>
      </c>
      <c r="AG60">
        <v>120</v>
      </c>
      <c r="AH60">
        <v>120</v>
      </c>
      <c r="AI60">
        <v>118</v>
      </c>
      <c r="AJ60" s="11">
        <f t="shared" si="62"/>
        <v>119.33333333333333</v>
      </c>
    </row>
    <row r="61" spans="1:36" x14ac:dyDescent="0.2">
      <c r="B61" t="s">
        <v>50</v>
      </c>
      <c r="C61">
        <v>86</v>
      </c>
      <c r="D61">
        <v>83</v>
      </c>
      <c r="E61">
        <v>85</v>
      </c>
      <c r="F61" s="11">
        <f t="shared" si="56"/>
        <v>84.666666666666671</v>
      </c>
      <c r="H61">
        <v>83</v>
      </c>
      <c r="I61">
        <v>81</v>
      </c>
      <c r="J61">
        <v>77</v>
      </c>
      <c r="K61" s="11">
        <f t="shared" si="57"/>
        <v>80.333333333333329</v>
      </c>
      <c r="M61">
        <v>90</v>
      </c>
      <c r="N61">
        <v>91</v>
      </c>
      <c r="O61">
        <v>85</v>
      </c>
      <c r="P61" s="11">
        <f t="shared" si="58"/>
        <v>88.666666666666671</v>
      </c>
      <c r="R61">
        <v>77</v>
      </c>
      <c r="S61">
        <v>82</v>
      </c>
      <c r="T61">
        <v>78</v>
      </c>
      <c r="U61" s="11">
        <f t="shared" si="59"/>
        <v>79</v>
      </c>
      <c r="W61">
        <v>80</v>
      </c>
      <c r="X61">
        <v>81</v>
      </c>
      <c r="Y61">
        <v>81</v>
      </c>
      <c r="Z61" s="11">
        <f t="shared" si="60"/>
        <v>80.666666666666671</v>
      </c>
      <c r="AB61">
        <v>85</v>
      </c>
      <c r="AC61">
        <v>88</v>
      </c>
      <c r="AD61">
        <v>88</v>
      </c>
      <c r="AE61" s="11">
        <f t="shared" si="61"/>
        <v>87</v>
      </c>
      <c r="AG61">
        <v>88</v>
      </c>
      <c r="AH61">
        <v>83</v>
      </c>
      <c r="AI61">
        <v>86</v>
      </c>
      <c r="AJ61" s="11">
        <f t="shared" si="62"/>
        <v>85.666666666666671</v>
      </c>
    </row>
    <row r="62" spans="1:36" x14ac:dyDescent="0.2">
      <c r="A62">
        <v>215</v>
      </c>
      <c r="B62" t="s">
        <v>35</v>
      </c>
      <c r="C62">
        <v>67</v>
      </c>
      <c r="D62">
        <v>67</v>
      </c>
      <c r="E62">
        <v>67</v>
      </c>
      <c r="F62" s="12">
        <f t="shared" si="56"/>
        <v>67</v>
      </c>
      <c r="H62">
        <v>67.2</v>
      </c>
      <c r="I62">
        <v>67.2</v>
      </c>
      <c r="J62">
        <v>67.2</v>
      </c>
      <c r="K62" s="12">
        <f t="shared" si="57"/>
        <v>67.2</v>
      </c>
      <c r="M62">
        <v>66.900000000000006</v>
      </c>
      <c r="N62">
        <v>66.8</v>
      </c>
      <c r="O62">
        <v>66.599999999999994</v>
      </c>
      <c r="P62" s="12">
        <f t="shared" si="58"/>
        <v>66.766666666666666</v>
      </c>
      <c r="R62">
        <v>66.7</v>
      </c>
      <c r="S62">
        <v>66.7</v>
      </c>
      <c r="T62">
        <v>66.7</v>
      </c>
      <c r="U62" s="12">
        <f t="shared" si="59"/>
        <v>66.7</v>
      </c>
      <c r="W62">
        <v>67.8</v>
      </c>
      <c r="X62">
        <v>67.8</v>
      </c>
      <c r="Y62">
        <v>67.8</v>
      </c>
      <c r="Z62" s="12">
        <f t="shared" si="60"/>
        <v>67.8</v>
      </c>
      <c r="AB62">
        <v>67.400000000000006</v>
      </c>
      <c r="AC62">
        <v>67.400000000000006</v>
      </c>
      <c r="AD62">
        <v>67.400000000000006</v>
      </c>
      <c r="AE62" s="12">
        <f t="shared" si="61"/>
        <v>67.400000000000006</v>
      </c>
      <c r="AG62">
        <v>67.8</v>
      </c>
      <c r="AH62">
        <v>67.8</v>
      </c>
      <c r="AI62">
        <v>67.8</v>
      </c>
      <c r="AJ62" s="12">
        <f t="shared" si="62"/>
        <v>67.8</v>
      </c>
    </row>
    <row r="63" spans="1:36" x14ac:dyDescent="0.2">
      <c r="B63" t="s">
        <v>36</v>
      </c>
      <c r="C63">
        <v>166.6</v>
      </c>
      <c r="D63">
        <v>166.5</v>
      </c>
      <c r="E63">
        <v>166.3</v>
      </c>
      <c r="F63" s="12">
        <f t="shared" si="56"/>
        <v>166.46666666666667</v>
      </c>
      <c r="H63">
        <v>166.1</v>
      </c>
      <c r="K63" s="12">
        <f t="shared" si="57"/>
        <v>166.1</v>
      </c>
      <c r="M63">
        <v>165.6</v>
      </c>
      <c r="N63">
        <v>165.6</v>
      </c>
      <c r="O63">
        <v>165.7</v>
      </c>
      <c r="P63" s="12">
        <f t="shared" si="58"/>
        <v>165.63333333333333</v>
      </c>
      <c r="R63">
        <v>165.4</v>
      </c>
      <c r="S63">
        <v>165.3</v>
      </c>
      <c r="T63">
        <v>165.3</v>
      </c>
      <c r="U63" s="12">
        <f t="shared" si="59"/>
        <v>165.33333333333334</v>
      </c>
      <c r="W63">
        <v>166.1</v>
      </c>
      <c r="Z63" s="12">
        <f t="shared" si="60"/>
        <v>166.1</v>
      </c>
      <c r="AB63">
        <v>165.5</v>
      </c>
      <c r="AE63" s="12">
        <f t="shared" si="61"/>
        <v>165.5</v>
      </c>
      <c r="AG63">
        <v>165.9</v>
      </c>
      <c r="AJ63" s="12">
        <f t="shared" si="62"/>
        <v>165.9</v>
      </c>
    </row>
    <row r="64" spans="1:36" x14ac:dyDescent="0.2">
      <c r="B64" t="s">
        <v>37</v>
      </c>
      <c r="F64" s="12">
        <f t="shared" si="63"/>
        <v>24.177992365367874</v>
      </c>
      <c r="K64" s="12">
        <f t="shared" si="64"/>
        <v>24.357348398160006</v>
      </c>
      <c r="P64" s="12">
        <f t="shared" si="65"/>
        <v>24.336841324240076</v>
      </c>
      <c r="U64" s="12">
        <f t="shared" si="66"/>
        <v>24.40085197710718</v>
      </c>
      <c r="Z64" s="12">
        <f t="shared" si="67"/>
        <v>24.574824723143575</v>
      </c>
      <c r="AE64" s="12">
        <f t="shared" si="68"/>
        <v>24.607296391964294</v>
      </c>
      <c r="AJ64" s="12">
        <f t="shared" si="69"/>
        <v>24.634112577894481</v>
      </c>
    </row>
    <row r="65" spans="1:36" x14ac:dyDescent="0.2">
      <c r="B65" t="s">
        <v>51</v>
      </c>
      <c r="C65">
        <v>108</v>
      </c>
      <c r="D65">
        <v>108</v>
      </c>
      <c r="E65">
        <v>108</v>
      </c>
      <c r="F65" s="11">
        <f t="shared" si="56"/>
        <v>108</v>
      </c>
      <c r="H65">
        <v>106</v>
      </c>
      <c r="I65">
        <v>99</v>
      </c>
      <c r="J65">
        <v>97</v>
      </c>
      <c r="K65" s="11">
        <f t="shared" si="57"/>
        <v>100.66666666666667</v>
      </c>
      <c r="M65">
        <v>116</v>
      </c>
      <c r="N65">
        <v>113</v>
      </c>
      <c r="O65">
        <v>107</v>
      </c>
      <c r="P65" s="11">
        <f t="shared" si="58"/>
        <v>112</v>
      </c>
      <c r="R65">
        <v>103</v>
      </c>
      <c r="S65">
        <v>103</v>
      </c>
      <c r="T65">
        <v>112</v>
      </c>
      <c r="U65" s="11">
        <f t="shared" si="59"/>
        <v>106</v>
      </c>
      <c r="W65">
        <v>118</v>
      </c>
      <c r="X65">
        <v>112</v>
      </c>
      <c r="Y65">
        <v>120</v>
      </c>
      <c r="Z65" s="11">
        <f t="shared" si="60"/>
        <v>116.66666666666667</v>
      </c>
      <c r="AB65">
        <v>119</v>
      </c>
      <c r="AC65">
        <v>112</v>
      </c>
      <c r="AD65">
        <v>109</v>
      </c>
      <c r="AE65" s="11">
        <f t="shared" si="61"/>
        <v>113.33333333333333</v>
      </c>
      <c r="AG65">
        <v>116</v>
      </c>
      <c r="AH65">
        <v>116</v>
      </c>
      <c r="AI65">
        <v>110</v>
      </c>
      <c r="AJ65" s="11">
        <f t="shared" si="62"/>
        <v>114</v>
      </c>
    </row>
    <row r="66" spans="1:36" x14ac:dyDescent="0.2">
      <c r="B66" t="s">
        <v>50</v>
      </c>
      <c r="C66">
        <v>73</v>
      </c>
      <c r="D66">
        <v>73</v>
      </c>
      <c r="E66">
        <v>75</v>
      </c>
      <c r="F66" s="11">
        <f t="shared" si="56"/>
        <v>73.666666666666671</v>
      </c>
      <c r="H66">
        <v>70</v>
      </c>
      <c r="I66">
        <v>65</v>
      </c>
      <c r="J66">
        <v>62</v>
      </c>
      <c r="K66" s="11">
        <f t="shared" si="57"/>
        <v>65.666666666666671</v>
      </c>
      <c r="M66">
        <v>78</v>
      </c>
      <c r="N66">
        <v>73</v>
      </c>
      <c r="O66">
        <v>73</v>
      </c>
      <c r="P66" s="11">
        <f t="shared" si="58"/>
        <v>74.666666666666671</v>
      </c>
      <c r="R66">
        <v>69</v>
      </c>
      <c r="S66">
        <v>69</v>
      </c>
      <c r="T66">
        <v>75</v>
      </c>
      <c r="U66" s="11">
        <f t="shared" si="59"/>
        <v>71</v>
      </c>
      <c r="W66">
        <v>78</v>
      </c>
      <c r="X66">
        <v>76</v>
      </c>
      <c r="Y66">
        <v>79</v>
      </c>
      <c r="Z66" s="11">
        <f t="shared" si="60"/>
        <v>77.666666666666671</v>
      </c>
      <c r="AB66">
        <v>76</v>
      </c>
      <c r="AC66">
        <v>75</v>
      </c>
      <c r="AD66">
        <v>74</v>
      </c>
      <c r="AE66" s="11">
        <f t="shared" si="61"/>
        <v>75</v>
      </c>
      <c r="AG66">
        <v>78</v>
      </c>
      <c r="AH66">
        <v>78</v>
      </c>
      <c r="AI66">
        <v>76</v>
      </c>
      <c r="AJ66" s="11">
        <f t="shared" si="62"/>
        <v>77.333333333333329</v>
      </c>
    </row>
    <row r="67" spans="1:36" x14ac:dyDescent="0.2">
      <c r="A67">
        <v>216</v>
      </c>
      <c r="B67" t="s">
        <v>35</v>
      </c>
      <c r="C67">
        <v>88.9</v>
      </c>
      <c r="D67">
        <v>88.9</v>
      </c>
      <c r="E67">
        <v>88.9</v>
      </c>
      <c r="F67" s="12">
        <f t="shared" si="56"/>
        <v>88.90000000000002</v>
      </c>
      <c r="H67">
        <v>88.3</v>
      </c>
      <c r="I67">
        <v>88.3</v>
      </c>
      <c r="J67">
        <v>88.3</v>
      </c>
      <c r="K67" s="12">
        <f t="shared" si="57"/>
        <v>88.3</v>
      </c>
      <c r="M67">
        <v>88.9</v>
      </c>
      <c r="N67">
        <v>88.9</v>
      </c>
      <c r="O67">
        <v>88.9</v>
      </c>
      <c r="P67" s="12">
        <f t="shared" si="58"/>
        <v>88.90000000000002</v>
      </c>
      <c r="R67">
        <v>88</v>
      </c>
      <c r="S67">
        <v>88</v>
      </c>
      <c r="T67">
        <v>88</v>
      </c>
      <c r="U67" s="12">
        <f t="shared" si="59"/>
        <v>88</v>
      </c>
      <c r="W67">
        <v>86.2</v>
      </c>
      <c r="X67">
        <v>86.2</v>
      </c>
      <c r="Y67">
        <v>86.1</v>
      </c>
      <c r="Z67" s="12">
        <f t="shared" si="60"/>
        <v>86.166666666666671</v>
      </c>
      <c r="AB67">
        <v>86.9</v>
      </c>
      <c r="AC67">
        <v>86.9</v>
      </c>
      <c r="AD67">
        <v>86.9</v>
      </c>
      <c r="AE67" s="12">
        <f t="shared" si="61"/>
        <v>86.90000000000002</v>
      </c>
      <c r="AG67">
        <v>86.8</v>
      </c>
      <c r="AH67">
        <v>86.8</v>
      </c>
      <c r="AI67">
        <v>86.8</v>
      </c>
      <c r="AJ67" s="12">
        <f t="shared" si="62"/>
        <v>86.8</v>
      </c>
    </row>
    <row r="68" spans="1:36" x14ac:dyDescent="0.2">
      <c r="B68" t="s">
        <v>36</v>
      </c>
      <c r="C68">
        <v>173.1</v>
      </c>
      <c r="D68">
        <v>173.3</v>
      </c>
      <c r="E68">
        <v>173.2</v>
      </c>
      <c r="F68" s="12">
        <f t="shared" si="56"/>
        <v>173.19999999999996</v>
      </c>
      <c r="H68">
        <v>173.6</v>
      </c>
      <c r="I68">
        <v>173.7</v>
      </c>
      <c r="J68">
        <v>173.6</v>
      </c>
      <c r="K68" s="12">
        <f t="shared" si="57"/>
        <v>173.63333333333333</v>
      </c>
      <c r="M68">
        <v>173.9</v>
      </c>
      <c r="P68" s="12">
        <f t="shared" si="58"/>
        <v>173.9</v>
      </c>
      <c r="R68">
        <v>173.9</v>
      </c>
      <c r="S68">
        <v>173.6</v>
      </c>
      <c r="T68">
        <v>173.6</v>
      </c>
      <c r="U68" s="12">
        <f t="shared" si="59"/>
        <v>173.70000000000002</v>
      </c>
      <c r="W68">
        <v>173.5</v>
      </c>
      <c r="X68">
        <v>173.5</v>
      </c>
      <c r="Y68">
        <v>173.5</v>
      </c>
      <c r="Z68" s="12">
        <f t="shared" si="60"/>
        <v>173.5</v>
      </c>
      <c r="AB68">
        <v>174</v>
      </c>
      <c r="AC68">
        <v>174</v>
      </c>
      <c r="AD68">
        <v>174</v>
      </c>
      <c r="AE68" s="12">
        <f t="shared" si="61"/>
        <v>174</v>
      </c>
      <c r="AG68">
        <v>173.5</v>
      </c>
      <c r="AH68">
        <v>173.5</v>
      </c>
      <c r="AI68">
        <v>173.5</v>
      </c>
      <c r="AJ68" s="12">
        <f t="shared" si="62"/>
        <v>173.5</v>
      </c>
    </row>
    <row r="69" spans="1:36" x14ac:dyDescent="0.2">
      <c r="B69" t="s">
        <v>37</v>
      </c>
      <c r="F69" s="12">
        <f t="shared" si="63"/>
        <v>29.635071924219577</v>
      </c>
      <c r="K69" s="12">
        <f t="shared" si="64"/>
        <v>29.288322509577672</v>
      </c>
      <c r="P69" s="12">
        <f t="shared" si="65"/>
        <v>29.396971880424097</v>
      </c>
      <c r="U69" s="12">
        <f t="shared" si="66"/>
        <v>29.166413946318549</v>
      </c>
      <c r="Z69" s="12">
        <f t="shared" si="67"/>
        <v>28.624659839934445</v>
      </c>
      <c r="AE69" s="12">
        <f t="shared" si="68"/>
        <v>28.702602721627699</v>
      </c>
      <c r="AJ69" s="12">
        <f t="shared" si="69"/>
        <v>28.835053858100306</v>
      </c>
    </row>
    <row r="70" spans="1:36" x14ac:dyDescent="0.2">
      <c r="B70" t="s">
        <v>51</v>
      </c>
      <c r="C70">
        <v>108</v>
      </c>
      <c r="D70">
        <v>105</v>
      </c>
      <c r="E70">
        <v>102</v>
      </c>
      <c r="F70" s="11">
        <f t="shared" si="56"/>
        <v>105</v>
      </c>
      <c r="H70">
        <v>113</v>
      </c>
      <c r="I70">
        <v>109</v>
      </c>
      <c r="J70">
        <v>106</v>
      </c>
      <c r="K70" s="11">
        <f t="shared" si="57"/>
        <v>109.33333333333333</v>
      </c>
      <c r="M70">
        <v>110</v>
      </c>
      <c r="N70">
        <v>115</v>
      </c>
      <c r="O70">
        <v>110</v>
      </c>
      <c r="P70" s="11">
        <f t="shared" si="58"/>
        <v>111.66666666666667</v>
      </c>
      <c r="R70">
        <v>104</v>
      </c>
      <c r="S70">
        <v>110</v>
      </c>
      <c r="T70">
        <v>105</v>
      </c>
      <c r="U70" s="11">
        <f t="shared" si="59"/>
        <v>106.33333333333333</v>
      </c>
      <c r="W70">
        <v>114</v>
      </c>
      <c r="X70">
        <v>115</v>
      </c>
      <c r="Y70">
        <v>104</v>
      </c>
      <c r="Z70" s="11">
        <f t="shared" si="60"/>
        <v>111</v>
      </c>
      <c r="AB70">
        <v>107</v>
      </c>
      <c r="AC70">
        <v>104</v>
      </c>
      <c r="AD70">
        <v>98</v>
      </c>
      <c r="AE70" s="11">
        <f t="shared" si="61"/>
        <v>103</v>
      </c>
      <c r="AG70">
        <v>114</v>
      </c>
      <c r="AH70">
        <v>112</v>
      </c>
      <c r="AI70">
        <v>103</v>
      </c>
      <c r="AJ70" s="11">
        <f t="shared" si="62"/>
        <v>109.66666666666667</v>
      </c>
    </row>
    <row r="71" spans="1:36" x14ac:dyDescent="0.2">
      <c r="B71" t="s">
        <v>50</v>
      </c>
      <c r="C71">
        <v>75</v>
      </c>
      <c r="D71">
        <v>71</v>
      </c>
      <c r="E71">
        <v>69</v>
      </c>
      <c r="F71" s="11">
        <f t="shared" si="56"/>
        <v>71.666666666666671</v>
      </c>
      <c r="H71">
        <v>70</v>
      </c>
      <c r="I71">
        <v>71</v>
      </c>
      <c r="J71">
        <v>69</v>
      </c>
      <c r="K71" s="11">
        <f t="shared" si="57"/>
        <v>70</v>
      </c>
      <c r="M71">
        <v>74</v>
      </c>
      <c r="N71">
        <v>76</v>
      </c>
      <c r="O71">
        <v>74</v>
      </c>
      <c r="P71" s="11">
        <f t="shared" si="58"/>
        <v>74.666666666666671</v>
      </c>
      <c r="R71">
        <v>70</v>
      </c>
      <c r="S71">
        <v>71</v>
      </c>
      <c r="T71">
        <v>67</v>
      </c>
      <c r="U71" s="11">
        <f t="shared" si="59"/>
        <v>69.333333333333329</v>
      </c>
      <c r="W71">
        <v>76</v>
      </c>
      <c r="X71">
        <v>80</v>
      </c>
      <c r="Y71">
        <v>69</v>
      </c>
      <c r="Z71" s="11">
        <f t="shared" si="60"/>
        <v>75</v>
      </c>
      <c r="AB71">
        <v>71</v>
      </c>
      <c r="AC71">
        <v>69</v>
      </c>
      <c r="AD71">
        <v>64</v>
      </c>
      <c r="AE71" s="11">
        <f t="shared" si="61"/>
        <v>68</v>
      </c>
      <c r="AG71">
        <v>75</v>
      </c>
      <c r="AH71">
        <v>74</v>
      </c>
      <c r="AI71">
        <v>70</v>
      </c>
      <c r="AJ71" s="11">
        <f t="shared" si="62"/>
        <v>73</v>
      </c>
    </row>
    <row r="72" spans="1:36" x14ac:dyDescent="0.2">
      <c r="A72">
        <v>218</v>
      </c>
      <c r="B72" t="s">
        <v>35</v>
      </c>
      <c r="C72">
        <v>86</v>
      </c>
      <c r="D72">
        <v>85.9</v>
      </c>
      <c r="E72">
        <v>86</v>
      </c>
      <c r="F72" s="12">
        <f t="shared" si="56"/>
        <v>85.966666666666654</v>
      </c>
      <c r="H72">
        <v>86.7</v>
      </c>
      <c r="I72">
        <v>86.7</v>
      </c>
      <c r="J72">
        <v>86.7</v>
      </c>
      <c r="K72" s="12">
        <f t="shared" si="57"/>
        <v>86.7</v>
      </c>
      <c r="M72">
        <v>86.7</v>
      </c>
      <c r="N72">
        <v>86.7</v>
      </c>
      <c r="O72">
        <v>86.7</v>
      </c>
      <c r="P72" s="12">
        <f t="shared" si="58"/>
        <v>86.7</v>
      </c>
      <c r="R72">
        <v>86.3</v>
      </c>
      <c r="S72">
        <v>86.1</v>
      </c>
      <c r="T72">
        <v>86.3</v>
      </c>
      <c r="U72" s="12">
        <f t="shared" si="59"/>
        <v>86.233333333333334</v>
      </c>
      <c r="W72">
        <v>86.7</v>
      </c>
      <c r="X72">
        <v>86.7</v>
      </c>
      <c r="Y72">
        <v>86.7</v>
      </c>
      <c r="Z72" s="12">
        <f t="shared" si="60"/>
        <v>86.7</v>
      </c>
      <c r="AB72">
        <v>86.5</v>
      </c>
      <c r="AC72">
        <v>86.5</v>
      </c>
      <c r="AD72">
        <v>86.5</v>
      </c>
      <c r="AE72" s="12">
        <f t="shared" si="61"/>
        <v>86.5</v>
      </c>
      <c r="AG72">
        <v>86.4</v>
      </c>
      <c r="AH72">
        <v>86.4</v>
      </c>
      <c r="AI72">
        <v>86.4</v>
      </c>
      <c r="AJ72" s="12">
        <f t="shared" si="62"/>
        <v>86.40000000000002</v>
      </c>
    </row>
    <row r="73" spans="1:36" x14ac:dyDescent="0.2">
      <c r="B73" t="s">
        <v>36</v>
      </c>
      <c r="C73">
        <v>170.1</v>
      </c>
      <c r="D73">
        <v>169.8</v>
      </c>
      <c r="E73">
        <v>170.5</v>
      </c>
      <c r="F73" s="12">
        <f t="shared" si="56"/>
        <v>170.13333333333333</v>
      </c>
      <c r="H73">
        <v>170.5</v>
      </c>
      <c r="I73">
        <v>170.4</v>
      </c>
      <c r="J73">
        <v>170.5</v>
      </c>
      <c r="K73" s="12">
        <f t="shared" si="57"/>
        <v>170.46666666666667</v>
      </c>
      <c r="M73">
        <v>170.5</v>
      </c>
      <c r="N73">
        <v>170.4</v>
      </c>
      <c r="O73">
        <v>170.4</v>
      </c>
      <c r="P73" s="12">
        <f t="shared" si="58"/>
        <v>170.43333333333331</v>
      </c>
      <c r="R73">
        <v>170.6</v>
      </c>
      <c r="S73">
        <v>170.6</v>
      </c>
      <c r="U73" s="12">
        <f t="shared" si="59"/>
        <v>170.6</v>
      </c>
      <c r="W73">
        <v>169.9</v>
      </c>
      <c r="Z73" s="12">
        <f t="shared" si="60"/>
        <v>169.9</v>
      </c>
      <c r="AB73">
        <v>169.7</v>
      </c>
      <c r="AE73" s="12">
        <f t="shared" si="61"/>
        <v>169.7</v>
      </c>
      <c r="AG73">
        <v>169.3</v>
      </c>
      <c r="AJ73" s="12">
        <f t="shared" si="62"/>
        <v>169.3</v>
      </c>
    </row>
    <row r="74" spans="1:36" x14ac:dyDescent="0.2">
      <c r="B74" t="s">
        <v>37</v>
      </c>
      <c r="F74" s="12">
        <f t="shared" si="63"/>
        <v>29.699645492870545</v>
      </c>
      <c r="K74" s="12">
        <f t="shared" si="64"/>
        <v>29.83596984452565</v>
      </c>
      <c r="P74" s="12">
        <f t="shared" si="65"/>
        <v>29.847641617458365</v>
      </c>
      <c r="U74" s="12">
        <f t="shared" si="66"/>
        <v>29.629008620472444</v>
      </c>
      <c r="Z74" s="12">
        <f t="shared" si="67"/>
        <v>30.035325283958539</v>
      </c>
      <c r="AE74" s="12">
        <f t="shared" si="68"/>
        <v>30.036714240423589</v>
      </c>
      <c r="AJ74" s="12">
        <f t="shared" si="69"/>
        <v>30.143926783751173</v>
      </c>
    </row>
    <row r="75" spans="1:36" x14ac:dyDescent="0.2">
      <c r="B75" t="s">
        <v>51</v>
      </c>
      <c r="C75">
        <v>114</v>
      </c>
      <c r="D75">
        <v>111</v>
      </c>
      <c r="E75">
        <v>113</v>
      </c>
      <c r="F75" s="11">
        <f t="shared" si="56"/>
        <v>112.66666666666667</v>
      </c>
      <c r="H75">
        <v>106</v>
      </c>
      <c r="I75">
        <v>104</v>
      </c>
      <c r="J75">
        <v>107</v>
      </c>
      <c r="K75" s="11">
        <f t="shared" si="57"/>
        <v>105.66666666666667</v>
      </c>
      <c r="M75">
        <v>110</v>
      </c>
      <c r="N75">
        <v>117</v>
      </c>
      <c r="O75">
        <v>115</v>
      </c>
      <c r="P75" s="11">
        <f t="shared" si="58"/>
        <v>114</v>
      </c>
      <c r="R75">
        <v>111</v>
      </c>
      <c r="S75">
        <v>118</v>
      </c>
      <c r="T75">
        <v>110</v>
      </c>
      <c r="U75" s="11">
        <f t="shared" si="59"/>
        <v>113</v>
      </c>
      <c r="W75">
        <v>117</v>
      </c>
      <c r="X75">
        <v>111</v>
      </c>
      <c r="Y75">
        <v>119</v>
      </c>
      <c r="Z75" s="11">
        <f t="shared" si="60"/>
        <v>115.66666666666667</v>
      </c>
      <c r="AB75">
        <v>116</v>
      </c>
      <c r="AC75">
        <v>119</v>
      </c>
      <c r="AD75">
        <v>113</v>
      </c>
      <c r="AE75" s="11">
        <f t="shared" si="61"/>
        <v>116</v>
      </c>
      <c r="AG75">
        <v>111</v>
      </c>
      <c r="AH75">
        <v>116</v>
      </c>
      <c r="AI75">
        <v>120</v>
      </c>
      <c r="AJ75" s="11">
        <f t="shared" si="62"/>
        <v>115.66666666666667</v>
      </c>
    </row>
    <row r="76" spans="1:36" x14ac:dyDescent="0.2">
      <c r="B76" t="s">
        <v>50</v>
      </c>
      <c r="C76">
        <v>79</v>
      </c>
      <c r="D76">
        <v>76</v>
      </c>
      <c r="E76">
        <v>76</v>
      </c>
      <c r="F76" s="11">
        <f t="shared" si="56"/>
        <v>77</v>
      </c>
      <c r="H76">
        <v>69</v>
      </c>
      <c r="I76">
        <v>70</v>
      </c>
      <c r="J76">
        <v>72</v>
      </c>
      <c r="K76" s="11">
        <f t="shared" si="57"/>
        <v>70.333333333333329</v>
      </c>
      <c r="M76">
        <v>72</v>
      </c>
      <c r="N76">
        <v>75</v>
      </c>
      <c r="O76">
        <v>72</v>
      </c>
      <c r="P76" s="11">
        <f t="shared" si="58"/>
        <v>73</v>
      </c>
      <c r="R76">
        <v>74</v>
      </c>
      <c r="S76">
        <v>77</v>
      </c>
      <c r="T76">
        <v>74</v>
      </c>
      <c r="U76" s="11">
        <f t="shared" si="59"/>
        <v>75</v>
      </c>
      <c r="W76">
        <v>79</v>
      </c>
      <c r="X76">
        <v>76</v>
      </c>
      <c r="Y76">
        <v>79</v>
      </c>
      <c r="Z76" s="11">
        <f t="shared" si="60"/>
        <v>78</v>
      </c>
      <c r="AB76">
        <v>73</v>
      </c>
      <c r="AC76">
        <v>81</v>
      </c>
      <c r="AD76">
        <v>75</v>
      </c>
      <c r="AE76" s="11">
        <f t="shared" si="61"/>
        <v>76.333333333333329</v>
      </c>
      <c r="AG76">
        <v>72</v>
      </c>
      <c r="AH76">
        <v>76</v>
      </c>
      <c r="AI76">
        <v>81</v>
      </c>
      <c r="AJ76" s="11">
        <f t="shared" si="62"/>
        <v>76.333333333333329</v>
      </c>
    </row>
    <row r="77" spans="1:36" x14ac:dyDescent="0.2">
      <c r="A77">
        <v>220</v>
      </c>
      <c r="B77" t="s">
        <v>35</v>
      </c>
      <c r="C77">
        <v>65.7</v>
      </c>
      <c r="D77">
        <v>65.599999999999994</v>
      </c>
      <c r="E77">
        <v>65.599999999999994</v>
      </c>
      <c r="F77" s="12">
        <f t="shared" si="56"/>
        <v>65.63333333333334</v>
      </c>
      <c r="H77">
        <v>64.7</v>
      </c>
      <c r="I77">
        <v>64.7</v>
      </c>
      <c r="J77">
        <v>64.7</v>
      </c>
      <c r="K77" s="12">
        <f t="shared" si="57"/>
        <v>64.7</v>
      </c>
      <c r="M77">
        <v>67</v>
      </c>
      <c r="N77">
        <v>67</v>
      </c>
      <c r="O77">
        <v>67</v>
      </c>
      <c r="P77" s="12">
        <f t="shared" si="58"/>
        <v>67</v>
      </c>
      <c r="R77">
        <v>65.599999999999994</v>
      </c>
      <c r="S77">
        <v>65.599999999999994</v>
      </c>
      <c r="T77">
        <v>65.599999999999994</v>
      </c>
      <c r="U77" s="12">
        <f t="shared" si="59"/>
        <v>65.599999999999994</v>
      </c>
      <c r="W77">
        <v>65.5</v>
      </c>
      <c r="X77">
        <v>65.5</v>
      </c>
      <c r="Y77">
        <v>65.5</v>
      </c>
      <c r="Z77" s="12">
        <f t="shared" si="60"/>
        <v>65.5</v>
      </c>
      <c r="AB77">
        <v>65</v>
      </c>
      <c r="AC77">
        <v>65</v>
      </c>
      <c r="AD77">
        <v>65</v>
      </c>
      <c r="AE77" s="12">
        <f t="shared" si="61"/>
        <v>65</v>
      </c>
      <c r="AG77">
        <v>63.6</v>
      </c>
      <c r="AH77">
        <v>63.6</v>
      </c>
      <c r="AI77">
        <v>63.6</v>
      </c>
      <c r="AJ77" s="12">
        <f t="shared" si="62"/>
        <v>63.6</v>
      </c>
    </row>
    <row r="78" spans="1:36" x14ac:dyDescent="0.2">
      <c r="B78" t="s">
        <v>36</v>
      </c>
      <c r="C78">
        <v>171.2</v>
      </c>
      <c r="D78">
        <v>171.1</v>
      </c>
      <c r="E78">
        <v>171.2</v>
      </c>
      <c r="F78" s="12">
        <f t="shared" si="56"/>
        <v>171.16666666666666</v>
      </c>
      <c r="H78">
        <v>170.6</v>
      </c>
      <c r="I78">
        <v>170.6</v>
      </c>
      <c r="J78">
        <v>170.6</v>
      </c>
      <c r="K78" s="12">
        <f t="shared" si="57"/>
        <v>170.6</v>
      </c>
      <c r="M78">
        <v>171.1</v>
      </c>
      <c r="P78" s="12">
        <f t="shared" si="58"/>
        <v>171.1</v>
      </c>
      <c r="R78">
        <v>171</v>
      </c>
      <c r="U78" s="12">
        <f t="shared" si="59"/>
        <v>171</v>
      </c>
      <c r="W78">
        <v>171.1</v>
      </c>
      <c r="Z78" s="12">
        <f t="shared" si="60"/>
        <v>171.1</v>
      </c>
      <c r="AB78">
        <v>171</v>
      </c>
      <c r="AE78" s="12">
        <f t="shared" si="61"/>
        <v>171</v>
      </c>
      <c r="AG78">
        <v>170.2</v>
      </c>
      <c r="AJ78" s="12">
        <f t="shared" si="62"/>
        <v>170.2</v>
      </c>
    </row>
    <row r="79" spans="1:36" x14ac:dyDescent="0.2">
      <c r="B79" t="s">
        <v>37</v>
      </c>
      <c r="F79" s="12">
        <f t="shared" si="63"/>
        <v>22.401962968686746</v>
      </c>
      <c r="K79" s="12">
        <f t="shared" si="64"/>
        <v>22.230346243655593</v>
      </c>
      <c r="P79" s="12">
        <f t="shared" si="65"/>
        <v>22.886257690380361</v>
      </c>
      <c r="U79" s="12">
        <f t="shared" si="66"/>
        <v>22.434253274511818</v>
      </c>
      <c r="Z79" s="12">
        <f t="shared" si="67"/>
        <v>22.373878786864385</v>
      </c>
      <c r="AE79" s="12">
        <f t="shared" si="68"/>
        <v>22.229061933586404</v>
      </c>
      <c r="AJ79" s="12">
        <f t="shared" si="69"/>
        <v>21.955230661100995</v>
      </c>
    </row>
    <row r="80" spans="1:36" x14ac:dyDescent="0.2">
      <c r="B80" t="s">
        <v>51</v>
      </c>
      <c r="C80">
        <v>106</v>
      </c>
      <c r="D80">
        <v>105</v>
      </c>
      <c r="E80">
        <v>102</v>
      </c>
      <c r="F80" s="11">
        <f t="shared" si="56"/>
        <v>104.33333333333333</v>
      </c>
      <c r="H80">
        <v>108</v>
      </c>
      <c r="I80">
        <v>108</v>
      </c>
      <c r="J80">
        <v>106</v>
      </c>
      <c r="K80" s="11">
        <f t="shared" si="57"/>
        <v>107.33333333333333</v>
      </c>
      <c r="M80">
        <v>111</v>
      </c>
      <c r="N80">
        <v>111</v>
      </c>
      <c r="O80">
        <v>111</v>
      </c>
      <c r="P80" s="11">
        <f t="shared" si="58"/>
        <v>111</v>
      </c>
      <c r="R80">
        <v>105</v>
      </c>
      <c r="S80">
        <v>104</v>
      </c>
      <c r="T80">
        <v>104</v>
      </c>
      <c r="U80" s="11">
        <f t="shared" si="59"/>
        <v>104.33333333333333</v>
      </c>
      <c r="W80">
        <v>111</v>
      </c>
      <c r="X80">
        <v>109</v>
      </c>
      <c r="Y80">
        <v>105</v>
      </c>
      <c r="Z80" s="11">
        <f t="shared" si="60"/>
        <v>108.33333333333333</v>
      </c>
      <c r="AB80">
        <v>122</v>
      </c>
      <c r="AC80">
        <v>117</v>
      </c>
      <c r="AD80">
        <v>120</v>
      </c>
      <c r="AE80" s="11">
        <f t="shared" si="61"/>
        <v>119.66666666666667</v>
      </c>
      <c r="AG80">
        <v>117</v>
      </c>
      <c r="AH80">
        <v>112</v>
      </c>
      <c r="AI80">
        <v>112</v>
      </c>
      <c r="AJ80" s="11">
        <f t="shared" si="62"/>
        <v>113.66666666666667</v>
      </c>
    </row>
    <row r="81" spans="1:36" x14ac:dyDescent="0.2">
      <c r="B81" t="s">
        <v>50</v>
      </c>
      <c r="C81">
        <v>67</v>
      </c>
      <c r="D81">
        <v>65</v>
      </c>
      <c r="E81">
        <v>64</v>
      </c>
      <c r="F81" s="11">
        <f t="shared" si="56"/>
        <v>65.333333333333329</v>
      </c>
      <c r="H81">
        <v>69</v>
      </c>
      <c r="I81">
        <v>71</v>
      </c>
      <c r="J81">
        <v>67</v>
      </c>
      <c r="K81" s="11">
        <f t="shared" si="57"/>
        <v>69</v>
      </c>
      <c r="M81">
        <v>72</v>
      </c>
      <c r="N81">
        <v>72</v>
      </c>
      <c r="O81">
        <v>73</v>
      </c>
      <c r="P81" s="11">
        <f t="shared" si="58"/>
        <v>72.333333333333329</v>
      </c>
      <c r="R81">
        <v>67</v>
      </c>
      <c r="S81">
        <v>66</v>
      </c>
      <c r="T81">
        <v>68</v>
      </c>
      <c r="U81" s="11">
        <f t="shared" si="59"/>
        <v>67</v>
      </c>
      <c r="W81">
        <v>71</v>
      </c>
      <c r="X81">
        <v>68</v>
      </c>
      <c r="Y81">
        <v>66</v>
      </c>
      <c r="Z81" s="11">
        <f t="shared" si="60"/>
        <v>68.333333333333329</v>
      </c>
      <c r="AB81">
        <v>79</v>
      </c>
      <c r="AC81">
        <v>77</v>
      </c>
      <c r="AD81">
        <v>76</v>
      </c>
      <c r="AE81" s="11">
        <f t="shared" si="61"/>
        <v>77.333333333333329</v>
      </c>
      <c r="AG81">
        <v>73</v>
      </c>
      <c r="AH81">
        <v>73</v>
      </c>
      <c r="AI81">
        <v>70</v>
      </c>
      <c r="AJ81" s="11">
        <f t="shared" si="62"/>
        <v>72</v>
      </c>
    </row>
    <row r="82" spans="1:36" x14ac:dyDescent="0.2">
      <c r="A82">
        <v>221</v>
      </c>
      <c r="B82" t="s">
        <v>35</v>
      </c>
      <c r="C82">
        <v>90.3</v>
      </c>
      <c r="D82">
        <v>90.3</v>
      </c>
      <c r="E82">
        <v>90.3</v>
      </c>
      <c r="F82" s="12">
        <f t="shared" si="56"/>
        <v>90.3</v>
      </c>
      <c r="H82">
        <v>89.3</v>
      </c>
      <c r="I82">
        <v>89.2</v>
      </c>
      <c r="J82">
        <v>89.3</v>
      </c>
      <c r="K82" s="12">
        <f t="shared" si="57"/>
        <v>89.266666666666666</v>
      </c>
      <c r="M82">
        <v>89.1</v>
      </c>
      <c r="N82">
        <v>89.1</v>
      </c>
      <c r="O82">
        <v>89.1</v>
      </c>
      <c r="P82" s="12">
        <f t="shared" si="58"/>
        <v>89.09999999999998</v>
      </c>
      <c r="R82">
        <v>89.9</v>
      </c>
      <c r="S82">
        <v>89.9</v>
      </c>
      <c r="T82">
        <v>89.9</v>
      </c>
      <c r="U82" s="12">
        <f t="shared" si="59"/>
        <v>89.90000000000002</v>
      </c>
      <c r="W82">
        <v>89.2</v>
      </c>
      <c r="X82">
        <v>89.2</v>
      </c>
      <c r="Y82">
        <v>89.2</v>
      </c>
      <c r="Z82" s="12">
        <f t="shared" si="60"/>
        <v>89.2</v>
      </c>
      <c r="AB82">
        <v>89.1</v>
      </c>
      <c r="AC82">
        <v>89.1</v>
      </c>
      <c r="AD82">
        <v>89.1</v>
      </c>
      <c r="AE82" s="12">
        <f t="shared" si="61"/>
        <v>89.09999999999998</v>
      </c>
      <c r="AG82">
        <v>89.6</v>
      </c>
      <c r="AH82">
        <v>89.6</v>
      </c>
      <c r="AI82">
        <v>89.6</v>
      </c>
      <c r="AJ82" s="12">
        <f t="shared" si="62"/>
        <v>89.59999999999998</v>
      </c>
    </row>
    <row r="83" spans="1:36" x14ac:dyDescent="0.2">
      <c r="B83" t="s">
        <v>36</v>
      </c>
      <c r="C83">
        <v>182</v>
      </c>
      <c r="D83">
        <v>182.1</v>
      </c>
      <c r="E83">
        <v>182.1</v>
      </c>
      <c r="F83" s="12">
        <f t="shared" si="56"/>
        <v>182.06666666666669</v>
      </c>
      <c r="H83">
        <v>182.5</v>
      </c>
      <c r="K83" s="12">
        <f t="shared" si="57"/>
        <v>182.5</v>
      </c>
      <c r="M83">
        <v>181.9</v>
      </c>
      <c r="N83">
        <v>181.9</v>
      </c>
      <c r="O83">
        <v>181.9</v>
      </c>
      <c r="P83" s="12">
        <f t="shared" si="58"/>
        <v>181.9</v>
      </c>
      <c r="R83">
        <v>182.4</v>
      </c>
      <c r="S83">
        <v>182.5</v>
      </c>
      <c r="T83">
        <v>182.5</v>
      </c>
      <c r="U83" s="12">
        <f t="shared" si="59"/>
        <v>182.46666666666667</v>
      </c>
      <c r="W83">
        <v>182.1</v>
      </c>
      <c r="X83">
        <v>182.1</v>
      </c>
      <c r="Y83">
        <v>182.1</v>
      </c>
      <c r="Z83" s="12">
        <f t="shared" si="60"/>
        <v>182.1</v>
      </c>
      <c r="AB83">
        <v>182.4</v>
      </c>
      <c r="AE83" s="12">
        <f t="shared" si="61"/>
        <v>182.4</v>
      </c>
      <c r="AG83">
        <v>182.6</v>
      </c>
      <c r="AH83">
        <v>182.4</v>
      </c>
      <c r="AI83">
        <v>182.4</v>
      </c>
      <c r="AJ83" s="12">
        <f t="shared" si="62"/>
        <v>182.46666666666667</v>
      </c>
    </row>
    <row r="84" spans="1:36" x14ac:dyDescent="0.2">
      <c r="B84" t="s">
        <v>37</v>
      </c>
      <c r="F84" s="12">
        <f t="shared" si="63"/>
        <v>27.241239730820208</v>
      </c>
      <c r="K84" s="12">
        <f t="shared" si="64"/>
        <v>26.801776443360229</v>
      </c>
      <c r="P84" s="12">
        <f t="shared" si="65"/>
        <v>26.928508888976868</v>
      </c>
      <c r="U84" s="12">
        <f t="shared" si="66"/>
        <v>27.00179371203614</v>
      </c>
      <c r="Z84" s="12">
        <f t="shared" si="67"/>
        <v>26.899546778824512</v>
      </c>
      <c r="AE84" s="12">
        <f t="shared" si="68"/>
        <v>26.781076869806085</v>
      </c>
      <c r="AJ84" s="12">
        <f t="shared" si="69"/>
        <v>26.911687615110534</v>
      </c>
    </row>
    <row r="85" spans="1:36" x14ac:dyDescent="0.2">
      <c r="B85" t="s">
        <v>51</v>
      </c>
      <c r="C85">
        <v>117</v>
      </c>
      <c r="D85">
        <v>115</v>
      </c>
      <c r="E85">
        <v>111</v>
      </c>
      <c r="F85" s="11">
        <f t="shared" si="56"/>
        <v>114.33333333333333</v>
      </c>
      <c r="H85">
        <v>109</v>
      </c>
      <c r="I85">
        <v>112</v>
      </c>
      <c r="J85">
        <v>108</v>
      </c>
      <c r="K85" s="11">
        <f t="shared" si="57"/>
        <v>109.66666666666667</v>
      </c>
      <c r="M85">
        <v>116</v>
      </c>
      <c r="N85">
        <v>113</v>
      </c>
      <c r="O85">
        <v>115</v>
      </c>
      <c r="P85" s="11">
        <f t="shared" si="58"/>
        <v>114.66666666666667</v>
      </c>
      <c r="R85">
        <v>116</v>
      </c>
      <c r="S85">
        <v>117</v>
      </c>
      <c r="T85">
        <v>123</v>
      </c>
      <c r="U85" s="11">
        <f t="shared" si="59"/>
        <v>118.66666666666667</v>
      </c>
      <c r="W85">
        <v>118</v>
      </c>
      <c r="X85">
        <v>112</v>
      </c>
      <c r="Y85">
        <v>111</v>
      </c>
      <c r="Z85" s="11">
        <f t="shared" si="60"/>
        <v>113.66666666666667</v>
      </c>
      <c r="AB85">
        <v>122</v>
      </c>
      <c r="AC85">
        <v>116</v>
      </c>
      <c r="AD85">
        <v>114</v>
      </c>
      <c r="AE85" s="11">
        <f t="shared" si="61"/>
        <v>117.33333333333333</v>
      </c>
      <c r="AG85">
        <v>117</v>
      </c>
      <c r="AH85">
        <v>115</v>
      </c>
      <c r="AI85">
        <v>108</v>
      </c>
      <c r="AJ85" s="11">
        <f t="shared" si="62"/>
        <v>113.33333333333333</v>
      </c>
    </row>
    <row r="86" spans="1:36" x14ac:dyDescent="0.2">
      <c r="B86" t="s">
        <v>50</v>
      </c>
      <c r="C86">
        <v>79</v>
      </c>
      <c r="D86">
        <v>76</v>
      </c>
      <c r="E86">
        <v>75</v>
      </c>
      <c r="F86" s="11">
        <f t="shared" si="56"/>
        <v>76.666666666666671</v>
      </c>
      <c r="H86">
        <v>72</v>
      </c>
      <c r="I86">
        <v>73</v>
      </c>
      <c r="J86">
        <v>70</v>
      </c>
      <c r="K86" s="11">
        <f t="shared" si="57"/>
        <v>71.666666666666671</v>
      </c>
      <c r="M86">
        <v>74</v>
      </c>
      <c r="N86">
        <v>71</v>
      </c>
      <c r="O86">
        <v>71</v>
      </c>
      <c r="P86" s="11">
        <f t="shared" si="58"/>
        <v>72</v>
      </c>
      <c r="R86">
        <v>73</v>
      </c>
      <c r="S86">
        <v>74</v>
      </c>
      <c r="T86">
        <v>77</v>
      </c>
      <c r="U86" s="11">
        <f t="shared" si="59"/>
        <v>74.666666666666671</v>
      </c>
      <c r="W86">
        <v>74</v>
      </c>
      <c r="X86">
        <v>72</v>
      </c>
      <c r="Y86">
        <v>71</v>
      </c>
      <c r="Z86" s="11">
        <f t="shared" si="60"/>
        <v>72.333333333333329</v>
      </c>
      <c r="AB86">
        <v>74</v>
      </c>
      <c r="AC86">
        <v>74</v>
      </c>
      <c r="AD86">
        <v>74</v>
      </c>
      <c r="AE86" s="11">
        <f t="shared" si="61"/>
        <v>74</v>
      </c>
      <c r="AG86">
        <v>75</v>
      </c>
      <c r="AH86">
        <v>68</v>
      </c>
      <c r="AI86">
        <v>67</v>
      </c>
      <c r="AJ86" s="11">
        <f t="shared" si="62"/>
        <v>70</v>
      </c>
    </row>
    <row r="87" spans="1:36" x14ac:dyDescent="0.2">
      <c r="A87">
        <v>222</v>
      </c>
      <c r="B87" t="s">
        <v>35</v>
      </c>
      <c r="C87">
        <v>74.3</v>
      </c>
      <c r="D87">
        <v>74.3</v>
      </c>
      <c r="E87">
        <v>74.099999999999994</v>
      </c>
      <c r="F87" s="12">
        <f t="shared" si="56"/>
        <v>74.233333333333334</v>
      </c>
      <c r="H87">
        <v>73.8</v>
      </c>
      <c r="I87">
        <v>73.8</v>
      </c>
      <c r="J87">
        <v>73.8</v>
      </c>
      <c r="K87" s="12">
        <f t="shared" si="57"/>
        <v>73.8</v>
      </c>
      <c r="M87">
        <v>73.599999999999994</v>
      </c>
      <c r="N87">
        <v>73.599999999999994</v>
      </c>
      <c r="O87">
        <v>73.599999999999994</v>
      </c>
      <c r="P87" s="12">
        <f t="shared" si="58"/>
        <v>73.599999999999994</v>
      </c>
      <c r="R87">
        <v>74.3</v>
      </c>
      <c r="S87">
        <v>74.3</v>
      </c>
      <c r="T87">
        <v>74.3</v>
      </c>
      <c r="U87" s="12">
        <f t="shared" si="59"/>
        <v>74.3</v>
      </c>
      <c r="W87">
        <v>74.7</v>
      </c>
      <c r="X87">
        <v>74.7</v>
      </c>
      <c r="Y87">
        <v>74.7</v>
      </c>
      <c r="Z87" s="12">
        <f t="shared" si="60"/>
        <v>74.7</v>
      </c>
      <c r="AB87">
        <v>74</v>
      </c>
      <c r="AC87">
        <v>74.099999999999994</v>
      </c>
      <c r="AD87">
        <v>74.099999999999994</v>
      </c>
      <c r="AE87" s="12">
        <f t="shared" si="61"/>
        <v>74.066666666666663</v>
      </c>
      <c r="AG87">
        <v>74.8</v>
      </c>
      <c r="AH87">
        <v>74.8</v>
      </c>
      <c r="AI87">
        <v>74.8</v>
      </c>
      <c r="AJ87" s="12">
        <f t="shared" si="62"/>
        <v>74.8</v>
      </c>
    </row>
    <row r="88" spans="1:36" x14ac:dyDescent="0.2">
      <c r="B88" t="s">
        <v>36</v>
      </c>
      <c r="C88">
        <v>159.80000000000001</v>
      </c>
      <c r="D88">
        <v>159.80000000000001</v>
      </c>
      <c r="F88" s="12">
        <f t="shared" si="56"/>
        <v>159.80000000000001</v>
      </c>
      <c r="H88">
        <v>163</v>
      </c>
      <c r="K88" s="12">
        <f t="shared" si="57"/>
        <v>163</v>
      </c>
      <c r="M88">
        <v>163</v>
      </c>
      <c r="N88">
        <v>162.5</v>
      </c>
      <c r="O88">
        <v>162.5</v>
      </c>
      <c r="P88" s="12">
        <f t="shared" si="58"/>
        <v>162.66666666666666</v>
      </c>
      <c r="R88">
        <v>162</v>
      </c>
      <c r="S88">
        <v>161.80000000000001</v>
      </c>
      <c r="T88">
        <v>161.9</v>
      </c>
      <c r="U88" s="12">
        <f t="shared" si="59"/>
        <v>161.9</v>
      </c>
      <c r="W88">
        <v>162.19999999999999</v>
      </c>
      <c r="X88">
        <v>162.30000000000001</v>
      </c>
      <c r="Y88">
        <v>162.30000000000001</v>
      </c>
      <c r="Z88" s="12">
        <f t="shared" si="60"/>
        <v>162.26666666666668</v>
      </c>
      <c r="AB88">
        <v>162.4</v>
      </c>
      <c r="AE88" s="12">
        <f t="shared" si="61"/>
        <v>162.4</v>
      </c>
      <c r="AG88">
        <v>161.6</v>
      </c>
      <c r="AH88">
        <v>161.6</v>
      </c>
      <c r="AI88">
        <v>161.6</v>
      </c>
      <c r="AJ88" s="12">
        <f t="shared" si="62"/>
        <v>161.6</v>
      </c>
    </row>
    <row r="89" spans="1:36" x14ac:dyDescent="0.2">
      <c r="B89" t="s">
        <v>37</v>
      </c>
      <c r="F89" s="12">
        <f t="shared" si="63"/>
        <v>29.070025475106291</v>
      </c>
      <c r="K89" s="12">
        <f t="shared" si="64"/>
        <v>27.776732281982763</v>
      </c>
      <c r="P89" s="12">
        <f t="shared" si="65"/>
        <v>27.815103466810001</v>
      </c>
      <c r="U89" s="12">
        <f t="shared" si="66"/>
        <v>28.346217573052552</v>
      </c>
      <c r="Z89" s="12">
        <f t="shared" si="67"/>
        <v>28.370172217874821</v>
      </c>
      <c r="AE89" s="12">
        <f t="shared" si="68"/>
        <v>28.083468821535746</v>
      </c>
      <c r="AJ89" s="12">
        <f t="shared" si="69"/>
        <v>28.643025193608473</v>
      </c>
    </row>
    <row r="90" spans="1:36" x14ac:dyDescent="0.2">
      <c r="B90" t="s">
        <v>51</v>
      </c>
      <c r="C90">
        <v>118</v>
      </c>
      <c r="D90">
        <v>111</v>
      </c>
      <c r="E90">
        <v>120</v>
      </c>
      <c r="F90" s="11">
        <f t="shared" si="56"/>
        <v>116.33333333333333</v>
      </c>
      <c r="H90">
        <v>107</v>
      </c>
      <c r="I90">
        <v>108</v>
      </c>
      <c r="J90">
        <v>108</v>
      </c>
      <c r="K90" s="11">
        <f t="shared" si="57"/>
        <v>107.66666666666667</v>
      </c>
      <c r="M90">
        <v>119</v>
      </c>
      <c r="N90">
        <v>118</v>
      </c>
      <c r="O90">
        <v>116</v>
      </c>
      <c r="P90" s="11">
        <f t="shared" si="58"/>
        <v>117.66666666666667</v>
      </c>
      <c r="R90">
        <v>124</v>
      </c>
      <c r="S90">
        <v>121</v>
      </c>
      <c r="T90">
        <v>117</v>
      </c>
      <c r="U90" s="11">
        <f t="shared" si="59"/>
        <v>120.66666666666667</v>
      </c>
      <c r="W90">
        <v>105</v>
      </c>
      <c r="X90">
        <v>115</v>
      </c>
      <c r="Y90">
        <v>111</v>
      </c>
      <c r="Z90" s="11">
        <f t="shared" si="60"/>
        <v>110.33333333333333</v>
      </c>
      <c r="AB90">
        <v>122</v>
      </c>
      <c r="AC90">
        <v>117</v>
      </c>
      <c r="AD90">
        <v>120</v>
      </c>
      <c r="AE90" s="11">
        <f t="shared" si="61"/>
        <v>119.66666666666667</v>
      </c>
      <c r="AG90">
        <v>113</v>
      </c>
      <c r="AH90">
        <v>111</v>
      </c>
      <c r="AI90">
        <v>112</v>
      </c>
      <c r="AJ90" s="11">
        <f t="shared" si="62"/>
        <v>112</v>
      </c>
    </row>
    <row r="91" spans="1:36" x14ac:dyDescent="0.2">
      <c r="B91" t="s">
        <v>50</v>
      </c>
      <c r="C91">
        <v>79</v>
      </c>
      <c r="D91">
        <v>78</v>
      </c>
      <c r="E91">
        <v>86</v>
      </c>
      <c r="F91" s="11">
        <f t="shared" si="56"/>
        <v>81</v>
      </c>
      <c r="H91">
        <v>70</v>
      </c>
      <c r="I91">
        <v>73</v>
      </c>
      <c r="J91">
        <v>71</v>
      </c>
      <c r="K91" s="11">
        <f t="shared" si="57"/>
        <v>71.333333333333329</v>
      </c>
      <c r="M91">
        <v>80</v>
      </c>
      <c r="N91">
        <v>80</v>
      </c>
      <c r="O91">
        <v>75</v>
      </c>
      <c r="P91" s="11">
        <f t="shared" si="58"/>
        <v>78.333333333333329</v>
      </c>
      <c r="R91">
        <v>79</v>
      </c>
      <c r="S91">
        <v>82</v>
      </c>
      <c r="T91">
        <v>80</v>
      </c>
      <c r="U91" s="11">
        <f t="shared" si="59"/>
        <v>80.333333333333329</v>
      </c>
      <c r="W91">
        <v>72</v>
      </c>
      <c r="X91">
        <v>75</v>
      </c>
      <c r="Y91">
        <v>74</v>
      </c>
      <c r="Z91" s="11">
        <f t="shared" si="60"/>
        <v>73.666666666666671</v>
      </c>
      <c r="AB91">
        <v>79</v>
      </c>
      <c r="AC91">
        <v>80</v>
      </c>
      <c r="AD91">
        <v>78</v>
      </c>
      <c r="AE91" s="11">
        <f t="shared" si="61"/>
        <v>79</v>
      </c>
      <c r="AG91">
        <v>76</v>
      </c>
      <c r="AH91">
        <v>74</v>
      </c>
      <c r="AI91">
        <v>75</v>
      </c>
      <c r="AJ91" s="11">
        <f t="shared" si="62"/>
        <v>75</v>
      </c>
    </row>
    <row r="92" spans="1:36" x14ac:dyDescent="0.2">
      <c r="A92">
        <v>223</v>
      </c>
      <c r="B92" t="s">
        <v>35</v>
      </c>
      <c r="C92">
        <v>78.3</v>
      </c>
      <c r="D92">
        <v>78.2</v>
      </c>
      <c r="E92">
        <v>78.3</v>
      </c>
      <c r="F92" s="12">
        <f t="shared" si="56"/>
        <v>78.266666666666666</v>
      </c>
      <c r="H92">
        <v>77.7</v>
      </c>
      <c r="I92">
        <v>77.7</v>
      </c>
      <c r="J92">
        <v>77.7</v>
      </c>
      <c r="K92" s="12">
        <f t="shared" si="57"/>
        <v>77.7</v>
      </c>
      <c r="M92">
        <v>78.5</v>
      </c>
      <c r="N92">
        <v>78.5</v>
      </c>
      <c r="O92">
        <v>78.5</v>
      </c>
      <c r="P92" s="12">
        <f t="shared" si="58"/>
        <v>78.5</v>
      </c>
      <c r="R92">
        <v>77.400000000000006</v>
      </c>
      <c r="S92">
        <v>77.3</v>
      </c>
      <c r="T92">
        <v>77.400000000000006</v>
      </c>
      <c r="U92" s="12">
        <f t="shared" si="59"/>
        <v>77.36666666666666</v>
      </c>
      <c r="W92">
        <v>77.7</v>
      </c>
      <c r="X92">
        <v>77.7</v>
      </c>
      <c r="Y92">
        <v>77.7</v>
      </c>
      <c r="Z92" s="12">
        <f t="shared" si="60"/>
        <v>77.7</v>
      </c>
      <c r="AB92">
        <v>77.25</v>
      </c>
      <c r="AC92">
        <v>77.150000000000006</v>
      </c>
      <c r="AD92">
        <v>77.150000000000006</v>
      </c>
      <c r="AE92" s="12">
        <f t="shared" si="61"/>
        <v>77.183333333333337</v>
      </c>
      <c r="AG92">
        <v>77.5</v>
      </c>
      <c r="AH92">
        <v>77.5</v>
      </c>
      <c r="AI92">
        <v>77.5</v>
      </c>
      <c r="AJ92" s="12">
        <f t="shared" si="62"/>
        <v>77.5</v>
      </c>
    </row>
    <row r="93" spans="1:36" x14ac:dyDescent="0.2">
      <c r="B93" t="s">
        <v>36</v>
      </c>
      <c r="C93">
        <v>175.4</v>
      </c>
      <c r="D93">
        <v>175.4</v>
      </c>
      <c r="E93">
        <v>175.4</v>
      </c>
      <c r="F93" s="12">
        <f t="shared" si="56"/>
        <v>175.4</v>
      </c>
      <c r="H93">
        <v>175.4</v>
      </c>
      <c r="I93">
        <v>175.4</v>
      </c>
      <c r="J93">
        <v>175.5</v>
      </c>
      <c r="K93" s="12">
        <f t="shared" si="57"/>
        <v>175.43333333333331</v>
      </c>
      <c r="M93">
        <v>176.5</v>
      </c>
      <c r="N93">
        <v>175.5</v>
      </c>
      <c r="O93">
        <v>175.5</v>
      </c>
      <c r="P93" s="12">
        <f t="shared" si="58"/>
        <v>175.83333333333334</v>
      </c>
      <c r="R93">
        <v>176</v>
      </c>
      <c r="U93" s="12">
        <f t="shared" si="59"/>
        <v>176</v>
      </c>
      <c r="W93">
        <v>176</v>
      </c>
      <c r="Z93" s="12">
        <f t="shared" si="60"/>
        <v>176</v>
      </c>
      <c r="AB93">
        <v>175.8</v>
      </c>
      <c r="AE93" s="12">
        <f t="shared" si="61"/>
        <v>175.8</v>
      </c>
      <c r="AG93">
        <v>176</v>
      </c>
      <c r="AJ93" s="12">
        <f t="shared" si="62"/>
        <v>176</v>
      </c>
    </row>
    <row r="94" spans="1:36" x14ac:dyDescent="0.2">
      <c r="B94" t="s">
        <v>37</v>
      </c>
      <c r="F94" s="12">
        <f t="shared" si="63"/>
        <v>25.440032382950932</v>
      </c>
      <c r="K94" s="12">
        <f t="shared" si="64"/>
        <v>25.246244751963506</v>
      </c>
      <c r="P94" s="12">
        <f t="shared" si="65"/>
        <v>25.390265268075733</v>
      </c>
      <c r="U94" s="12">
        <f t="shared" si="66"/>
        <v>24.976325757575758</v>
      </c>
      <c r="Z94" s="12">
        <f t="shared" si="67"/>
        <v>25.083935950413224</v>
      </c>
      <c r="AE94" s="12">
        <f t="shared" si="68"/>
        <v>24.973866690135953</v>
      </c>
      <c r="AJ94" s="12">
        <f t="shared" si="69"/>
        <v>25.019369834710744</v>
      </c>
    </row>
    <row r="95" spans="1:36" x14ac:dyDescent="0.2">
      <c r="B95" t="s">
        <v>51</v>
      </c>
      <c r="C95">
        <v>122</v>
      </c>
      <c r="D95">
        <v>124</v>
      </c>
      <c r="E95">
        <v>118</v>
      </c>
      <c r="F95" s="11">
        <f t="shared" si="56"/>
        <v>121.33333333333333</v>
      </c>
      <c r="H95">
        <v>124</v>
      </c>
      <c r="I95">
        <v>117</v>
      </c>
      <c r="J95">
        <v>128</v>
      </c>
      <c r="K95" s="11">
        <f t="shared" si="57"/>
        <v>123</v>
      </c>
      <c r="M95">
        <v>127</v>
      </c>
      <c r="N95">
        <v>131</v>
      </c>
      <c r="O95">
        <v>121</v>
      </c>
      <c r="P95" s="11">
        <f t="shared" si="58"/>
        <v>126.33333333333333</v>
      </c>
      <c r="R95">
        <v>117</v>
      </c>
      <c r="S95">
        <v>118</v>
      </c>
      <c r="T95">
        <v>112</v>
      </c>
      <c r="U95" s="11">
        <f t="shared" si="59"/>
        <v>115.66666666666667</v>
      </c>
      <c r="W95">
        <v>123</v>
      </c>
      <c r="X95">
        <v>119</v>
      </c>
      <c r="Y95">
        <v>122</v>
      </c>
      <c r="Z95" s="11">
        <f t="shared" si="60"/>
        <v>121.33333333333333</v>
      </c>
      <c r="AB95">
        <v>114</v>
      </c>
      <c r="AC95">
        <v>117</v>
      </c>
      <c r="AD95">
        <v>116</v>
      </c>
      <c r="AE95" s="11">
        <f t="shared" si="61"/>
        <v>115.66666666666667</v>
      </c>
      <c r="AG95">
        <v>124</v>
      </c>
      <c r="AH95">
        <v>122</v>
      </c>
      <c r="AI95">
        <v>124</v>
      </c>
      <c r="AJ95" s="11">
        <f t="shared" si="62"/>
        <v>123.33333333333333</v>
      </c>
    </row>
    <row r="96" spans="1:36" x14ac:dyDescent="0.2">
      <c r="B96" t="s">
        <v>50</v>
      </c>
      <c r="C96">
        <v>74</v>
      </c>
      <c r="D96">
        <v>74</v>
      </c>
      <c r="E96">
        <v>76</v>
      </c>
      <c r="F96" s="11">
        <f t="shared" si="56"/>
        <v>74.666666666666671</v>
      </c>
      <c r="H96">
        <v>67</v>
      </c>
      <c r="I96">
        <v>69</v>
      </c>
      <c r="J96">
        <v>71</v>
      </c>
      <c r="K96" s="11">
        <f t="shared" si="57"/>
        <v>69</v>
      </c>
      <c r="M96">
        <v>84</v>
      </c>
      <c r="N96">
        <v>72</v>
      </c>
      <c r="O96">
        <v>74</v>
      </c>
      <c r="P96" s="11">
        <f t="shared" si="58"/>
        <v>76.666666666666671</v>
      </c>
      <c r="R96">
        <v>68</v>
      </c>
      <c r="S96">
        <v>71</v>
      </c>
      <c r="T96">
        <v>71</v>
      </c>
      <c r="U96" s="11">
        <f t="shared" si="59"/>
        <v>70</v>
      </c>
      <c r="W96">
        <v>71</v>
      </c>
      <c r="X96">
        <v>68</v>
      </c>
      <c r="Y96">
        <v>77</v>
      </c>
      <c r="Z96" s="11">
        <f t="shared" si="60"/>
        <v>72</v>
      </c>
      <c r="AB96">
        <v>73</v>
      </c>
      <c r="AC96">
        <v>72</v>
      </c>
      <c r="AD96">
        <v>71</v>
      </c>
      <c r="AE96" s="11">
        <f t="shared" si="61"/>
        <v>72</v>
      </c>
      <c r="AG96">
        <v>74</v>
      </c>
      <c r="AH96">
        <v>75</v>
      </c>
      <c r="AI96">
        <v>76</v>
      </c>
      <c r="AJ96" s="11">
        <f t="shared" si="62"/>
        <v>75</v>
      </c>
    </row>
    <row r="97" spans="1:36" x14ac:dyDescent="0.2">
      <c r="A97">
        <v>224</v>
      </c>
      <c r="B97" t="s">
        <v>35</v>
      </c>
      <c r="C97">
        <v>75.099999999999994</v>
      </c>
      <c r="D97">
        <v>75.099999999999994</v>
      </c>
      <c r="E97">
        <v>75.099999999999994</v>
      </c>
      <c r="F97" s="12">
        <f t="shared" si="56"/>
        <v>75.099999999999994</v>
      </c>
      <c r="H97">
        <v>74.8</v>
      </c>
      <c r="I97">
        <v>74.8</v>
      </c>
      <c r="J97">
        <v>74.8</v>
      </c>
      <c r="K97" s="12">
        <f t="shared" si="57"/>
        <v>74.8</v>
      </c>
      <c r="M97">
        <v>74.8</v>
      </c>
      <c r="N97">
        <v>74.8</v>
      </c>
      <c r="O97">
        <v>74.8</v>
      </c>
      <c r="P97" s="12">
        <f t="shared" si="58"/>
        <v>74.8</v>
      </c>
      <c r="R97">
        <v>74.3</v>
      </c>
      <c r="S97">
        <v>74.400000000000006</v>
      </c>
      <c r="T97">
        <v>74.400000000000006</v>
      </c>
      <c r="U97" s="12">
        <f t="shared" si="59"/>
        <v>74.36666666666666</v>
      </c>
      <c r="W97">
        <v>73</v>
      </c>
      <c r="X97">
        <v>73.099999999999994</v>
      </c>
      <c r="Y97">
        <v>73.099999999999994</v>
      </c>
      <c r="Z97" s="12">
        <f t="shared" si="60"/>
        <v>73.066666666666663</v>
      </c>
      <c r="AB97">
        <v>73.099999999999994</v>
      </c>
      <c r="AC97">
        <v>73.150000000000006</v>
      </c>
      <c r="AD97">
        <v>73.099999999999994</v>
      </c>
      <c r="AE97" s="12">
        <f t="shared" si="61"/>
        <v>73.11666666666666</v>
      </c>
      <c r="AG97">
        <v>73.150000000000006</v>
      </c>
      <c r="AH97">
        <v>73.150000000000006</v>
      </c>
      <c r="AI97">
        <v>73.150000000000006</v>
      </c>
      <c r="AJ97" s="12">
        <f t="shared" si="62"/>
        <v>73.150000000000006</v>
      </c>
    </row>
    <row r="98" spans="1:36" x14ac:dyDescent="0.2">
      <c r="B98" t="s">
        <v>36</v>
      </c>
      <c r="C98">
        <v>170.5</v>
      </c>
      <c r="F98" s="12">
        <f t="shared" si="56"/>
        <v>170.5</v>
      </c>
      <c r="H98">
        <v>170.4</v>
      </c>
      <c r="K98" s="12">
        <f t="shared" si="57"/>
        <v>170.4</v>
      </c>
      <c r="M98">
        <v>170.7</v>
      </c>
      <c r="P98" s="12">
        <f t="shared" si="58"/>
        <v>170.7</v>
      </c>
      <c r="R98">
        <v>171.1</v>
      </c>
      <c r="U98" s="12">
        <f t="shared" si="59"/>
        <v>171.1</v>
      </c>
      <c r="W98">
        <v>170.6</v>
      </c>
      <c r="Z98" s="12">
        <f t="shared" si="60"/>
        <v>170.6</v>
      </c>
      <c r="AB98">
        <v>170.7</v>
      </c>
      <c r="AE98" s="12">
        <f t="shared" si="61"/>
        <v>170.7</v>
      </c>
      <c r="AG98">
        <v>170.8</v>
      </c>
      <c r="AJ98" s="12">
        <f t="shared" si="62"/>
        <v>170.8</v>
      </c>
    </row>
    <row r="99" spans="1:36" x14ac:dyDescent="0.2">
      <c r="B99" t="s">
        <v>37</v>
      </c>
      <c r="F99" s="12">
        <f t="shared" si="63"/>
        <v>25.833971156078803</v>
      </c>
      <c r="K99" s="12">
        <f t="shared" si="64"/>
        <v>25.760982168441004</v>
      </c>
      <c r="P99" s="12">
        <f t="shared" si="65"/>
        <v>25.670513468611453</v>
      </c>
      <c r="U99" s="12">
        <f t="shared" si="66"/>
        <v>25.402607416536608</v>
      </c>
      <c r="Z99" s="12">
        <f t="shared" si="67"/>
        <v>25.105058715143254</v>
      </c>
      <c r="AE99" s="12">
        <f t="shared" si="68"/>
        <v>25.092812519340114</v>
      </c>
      <c r="AJ99" s="12">
        <f t="shared" si="69"/>
        <v>25.074864667716046</v>
      </c>
    </row>
    <row r="100" spans="1:36" x14ac:dyDescent="0.2">
      <c r="B100" t="s">
        <v>51</v>
      </c>
      <c r="C100">
        <v>106</v>
      </c>
      <c r="D100">
        <v>105</v>
      </c>
      <c r="E100">
        <v>107</v>
      </c>
      <c r="F100" s="11">
        <f t="shared" si="56"/>
        <v>106</v>
      </c>
      <c r="H100">
        <v>113</v>
      </c>
      <c r="I100">
        <v>109</v>
      </c>
      <c r="J100">
        <v>106</v>
      </c>
      <c r="K100" s="11">
        <f t="shared" si="57"/>
        <v>109.33333333333333</v>
      </c>
      <c r="M100">
        <v>115</v>
      </c>
      <c r="N100">
        <v>110</v>
      </c>
      <c r="O100">
        <v>115</v>
      </c>
      <c r="P100" s="11">
        <f t="shared" si="58"/>
        <v>113.33333333333333</v>
      </c>
      <c r="R100">
        <v>110</v>
      </c>
      <c r="S100">
        <v>118</v>
      </c>
      <c r="T100">
        <v>116</v>
      </c>
      <c r="U100" s="11">
        <f t="shared" si="59"/>
        <v>114.66666666666667</v>
      </c>
      <c r="W100">
        <v>104</v>
      </c>
      <c r="X100">
        <v>108</v>
      </c>
      <c r="Y100">
        <v>110</v>
      </c>
      <c r="Z100" s="11">
        <f t="shared" si="60"/>
        <v>107.33333333333333</v>
      </c>
      <c r="AB100">
        <v>110</v>
      </c>
      <c r="AC100">
        <v>115</v>
      </c>
      <c r="AD100">
        <v>112</v>
      </c>
      <c r="AE100" s="11">
        <f t="shared" si="61"/>
        <v>112.33333333333333</v>
      </c>
      <c r="AG100">
        <v>104</v>
      </c>
      <c r="AH100">
        <v>106</v>
      </c>
      <c r="AI100">
        <v>107</v>
      </c>
      <c r="AJ100" s="11">
        <f t="shared" si="62"/>
        <v>105.66666666666667</v>
      </c>
    </row>
    <row r="101" spans="1:36" x14ac:dyDescent="0.2">
      <c r="B101" t="s">
        <v>50</v>
      </c>
      <c r="C101">
        <v>72</v>
      </c>
      <c r="D101">
        <v>70</v>
      </c>
      <c r="E101">
        <v>70</v>
      </c>
      <c r="F101" s="11">
        <f t="shared" si="56"/>
        <v>70.666666666666671</v>
      </c>
      <c r="H101">
        <v>75</v>
      </c>
      <c r="I101">
        <v>72</v>
      </c>
      <c r="J101">
        <v>67</v>
      </c>
      <c r="K101" s="11">
        <f t="shared" si="57"/>
        <v>71.333333333333329</v>
      </c>
      <c r="M101">
        <v>75</v>
      </c>
      <c r="N101">
        <v>74</v>
      </c>
      <c r="O101">
        <v>70</v>
      </c>
      <c r="P101" s="11">
        <f t="shared" si="58"/>
        <v>73</v>
      </c>
      <c r="R101">
        <v>72</v>
      </c>
      <c r="S101">
        <v>73</v>
      </c>
      <c r="T101">
        <v>72</v>
      </c>
      <c r="U101" s="11">
        <f t="shared" si="59"/>
        <v>72.333333333333329</v>
      </c>
      <c r="W101">
        <v>71</v>
      </c>
      <c r="X101">
        <v>72</v>
      </c>
      <c r="Y101">
        <v>73</v>
      </c>
      <c r="Z101" s="11">
        <f t="shared" si="60"/>
        <v>72</v>
      </c>
      <c r="AB101">
        <v>70</v>
      </c>
      <c r="AC101">
        <v>68</v>
      </c>
      <c r="AD101">
        <v>71</v>
      </c>
      <c r="AE101" s="11">
        <f t="shared" si="61"/>
        <v>69.666666666666671</v>
      </c>
      <c r="AG101">
        <v>66</v>
      </c>
      <c r="AH101">
        <v>71</v>
      </c>
      <c r="AI101">
        <v>71</v>
      </c>
      <c r="AJ101" s="11">
        <f t="shared" si="62"/>
        <v>69.333333333333329</v>
      </c>
    </row>
  </sheetData>
  <autoFilter ref="A1:AJ99" xr:uid="{FDFE9CC2-5087-1641-9C24-79C522576E37}"/>
  <phoneticPr fontId="2" type="noConversion"/>
  <pageMargins left="0.7" right="0.7" top="0.75" bottom="0.75" header="0.3" footer="0.3"/>
  <ignoredErrors>
    <ignoredError sqref="F4 K4 P4 U4 Z4 AE4 AJ4" formula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Meta Data</vt:lpstr>
      <vt:lpstr>Anthro AVG</vt:lpstr>
      <vt:lpstr>Glucose</vt:lpstr>
      <vt:lpstr>Insulin</vt:lpstr>
      <vt:lpstr>Cholesterol</vt:lpstr>
      <vt:lpstr>HDL</vt:lpstr>
      <vt:lpstr>LDL</vt:lpstr>
      <vt:lpstr>Chol-HDL ratio</vt:lpstr>
      <vt:lpstr>TG</vt:lpstr>
      <vt:lpstr>Non-HDL</vt:lpstr>
      <vt:lpstr>Lipid Panels A</vt:lpstr>
      <vt:lpstr>Lipid Panels B</vt:lpstr>
      <vt:lpstr>Lipid Panels C</vt:lpstr>
      <vt:lpstr>Lipid Panels D</vt:lpstr>
      <vt:lpstr>Anthro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2020-01-09T23:40:54Z</dcterms:created>
  <dcterms:modified xsi:type="dcterms:W3CDTF">2020-01-22T02:40:17Z</dcterms:modified>
</cp:coreProperties>
</file>